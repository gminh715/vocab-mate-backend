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vocab-mate\vocab-mate-backend\"/>
    </mc:Choice>
  </mc:AlternateContent>
  <xr:revisionPtr revIDLastSave="0" documentId="13_ncr:1_{E317ED01-4F9D-4F47-B19D-982AFB1787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PI Design" sheetId="1" r:id="rId1"/>
    <sheet name="API Doc" sheetId="2" r:id="rId2"/>
    <sheet name="Time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O23" i="3"/>
  <c r="O116" i="3"/>
  <c r="M116" i="3"/>
  <c r="L116" i="3"/>
  <c r="O115" i="3"/>
  <c r="L115" i="3"/>
  <c r="M115" i="3" s="1"/>
  <c r="O114" i="3"/>
  <c r="L114" i="3"/>
  <c r="M114" i="3" s="1"/>
  <c r="O113" i="3"/>
  <c r="L113" i="3"/>
  <c r="M113" i="3" s="1"/>
  <c r="O112" i="3"/>
  <c r="M112" i="3"/>
  <c r="L112" i="3"/>
  <c r="O111" i="3"/>
  <c r="L111" i="3"/>
  <c r="M111" i="3" s="1"/>
  <c r="O110" i="3"/>
  <c r="L110" i="3"/>
  <c r="M110" i="3" s="1"/>
  <c r="O109" i="3"/>
  <c r="L109" i="3"/>
  <c r="M109" i="3" s="1"/>
  <c r="O108" i="3"/>
  <c r="M108" i="3"/>
  <c r="L108" i="3"/>
  <c r="O107" i="3"/>
  <c r="L107" i="3"/>
  <c r="M107" i="3" s="1"/>
  <c r="O106" i="3"/>
  <c r="L106" i="3"/>
  <c r="M106" i="3" s="1"/>
  <c r="O105" i="3"/>
  <c r="L105" i="3"/>
  <c r="M105" i="3" s="1"/>
  <c r="O104" i="3"/>
  <c r="M104" i="3"/>
  <c r="L104" i="3"/>
  <c r="O103" i="3"/>
  <c r="L103" i="3"/>
  <c r="M103" i="3" s="1"/>
  <c r="O102" i="3"/>
  <c r="L102" i="3"/>
  <c r="M102" i="3" s="1"/>
  <c r="O101" i="3"/>
  <c r="L101" i="3"/>
  <c r="M101" i="3" s="1"/>
  <c r="O100" i="3"/>
  <c r="M100" i="3"/>
  <c r="L100" i="3"/>
  <c r="O99" i="3"/>
  <c r="L99" i="3"/>
  <c r="M99" i="3" s="1"/>
  <c r="O98" i="3"/>
  <c r="L98" i="3"/>
  <c r="M98" i="3" s="1"/>
  <c r="O97" i="3"/>
  <c r="L97" i="3"/>
  <c r="M97" i="3" s="1"/>
  <c r="O96" i="3"/>
  <c r="M96" i="3"/>
  <c r="L96" i="3"/>
  <c r="O95" i="3"/>
  <c r="L95" i="3"/>
  <c r="M95" i="3" s="1"/>
  <c r="O94" i="3"/>
  <c r="L94" i="3"/>
  <c r="M94" i="3" s="1"/>
  <c r="O93" i="3"/>
  <c r="L93" i="3"/>
  <c r="M93" i="3" s="1"/>
  <c r="O92" i="3"/>
  <c r="M92" i="3"/>
  <c r="L92" i="3"/>
  <c r="O91" i="3"/>
  <c r="L91" i="3"/>
  <c r="M91" i="3" s="1"/>
  <c r="O90" i="3"/>
  <c r="L90" i="3"/>
  <c r="M90" i="3" s="1"/>
  <c r="O89" i="3"/>
  <c r="L89" i="3"/>
  <c r="M89" i="3" s="1"/>
  <c r="O88" i="3"/>
  <c r="M88" i="3"/>
  <c r="L88" i="3"/>
  <c r="O87" i="3"/>
  <c r="L87" i="3"/>
  <c r="M87" i="3" s="1"/>
  <c r="O86" i="3"/>
  <c r="L86" i="3"/>
  <c r="M86" i="3" s="1"/>
  <c r="O85" i="3"/>
  <c r="L85" i="3"/>
  <c r="M85" i="3" s="1"/>
  <c r="O84" i="3"/>
  <c r="M84" i="3"/>
  <c r="L84" i="3"/>
  <c r="O83" i="3"/>
  <c r="L83" i="3"/>
  <c r="M83" i="3" s="1"/>
  <c r="O82" i="3"/>
  <c r="L82" i="3"/>
  <c r="M82" i="3" s="1"/>
  <c r="O81" i="3"/>
  <c r="L81" i="3"/>
  <c r="M81" i="3" s="1"/>
  <c r="O80" i="3"/>
  <c r="M80" i="3"/>
  <c r="L80" i="3"/>
  <c r="O79" i="3"/>
  <c r="L79" i="3"/>
  <c r="M79" i="3" s="1"/>
  <c r="O78" i="3"/>
  <c r="L78" i="3"/>
  <c r="M78" i="3" s="1"/>
  <c r="O77" i="3"/>
  <c r="L77" i="3"/>
  <c r="M77" i="3" s="1"/>
  <c r="O76" i="3"/>
  <c r="M76" i="3"/>
  <c r="L76" i="3"/>
  <c r="O75" i="3"/>
  <c r="L75" i="3"/>
  <c r="M75" i="3" s="1"/>
  <c r="O74" i="3"/>
  <c r="L74" i="3"/>
  <c r="M74" i="3" s="1"/>
  <c r="O73" i="3"/>
  <c r="L73" i="3"/>
  <c r="M73" i="3" s="1"/>
  <c r="O72" i="3"/>
  <c r="M72" i="3"/>
  <c r="L72" i="3"/>
  <c r="O71" i="3"/>
  <c r="L71" i="3"/>
  <c r="M71" i="3" s="1"/>
  <c r="O70" i="3"/>
  <c r="L70" i="3"/>
  <c r="M70" i="3" s="1"/>
  <c r="O69" i="3"/>
  <c r="L69" i="3"/>
  <c r="M69" i="3" s="1"/>
  <c r="O68" i="3"/>
  <c r="M68" i="3"/>
  <c r="L68" i="3"/>
  <c r="O67" i="3"/>
  <c r="L67" i="3"/>
  <c r="M67" i="3" s="1"/>
  <c r="O66" i="3"/>
  <c r="L66" i="3"/>
  <c r="M66" i="3" s="1"/>
  <c r="O65" i="3"/>
  <c r="L65" i="3"/>
  <c r="M65" i="3" s="1"/>
  <c r="O64" i="3"/>
  <c r="M64" i="3"/>
  <c r="L64" i="3"/>
  <c r="O63" i="3"/>
  <c r="L63" i="3"/>
  <c r="M63" i="3" s="1"/>
  <c r="O62" i="3"/>
  <c r="L62" i="3"/>
  <c r="M62" i="3" s="1"/>
  <c r="O61" i="3"/>
  <c r="L61" i="3"/>
  <c r="M61" i="3" s="1"/>
  <c r="O60" i="3"/>
  <c r="M60" i="3"/>
  <c r="L60" i="3"/>
  <c r="O59" i="3"/>
  <c r="L59" i="3"/>
  <c r="M59" i="3" s="1"/>
  <c r="O58" i="3"/>
  <c r="L58" i="3"/>
  <c r="M58" i="3" s="1"/>
  <c r="O57" i="3"/>
  <c r="L57" i="3"/>
  <c r="M57" i="3" s="1"/>
  <c r="O56" i="3"/>
  <c r="M56" i="3"/>
  <c r="L56" i="3"/>
  <c r="O55" i="3"/>
  <c r="L55" i="3"/>
  <c r="M55" i="3" s="1"/>
  <c r="O54" i="3"/>
  <c r="L54" i="3"/>
  <c r="M54" i="3" s="1"/>
  <c r="O53" i="3"/>
  <c r="L53" i="3"/>
  <c r="M53" i="3" s="1"/>
  <c r="O52" i="3"/>
  <c r="M52" i="3"/>
  <c r="L52" i="3"/>
  <c r="O51" i="3"/>
  <c r="L51" i="3"/>
  <c r="M51" i="3" s="1"/>
  <c r="O50" i="3"/>
  <c r="L50" i="3"/>
  <c r="M50" i="3" s="1"/>
  <c r="O49" i="3"/>
  <c r="L49" i="3"/>
  <c r="M49" i="3" s="1"/>
  <c r="O48" i="3"/>
  <c r="M48" i="3"/>
  <c r="L48" i="3"/>
  <c r="O47" i="3"/>
  <c r="L47" i="3"/>
  <c r="M47" i="3" s="1"/>
  <c r="O46" i="3"/>
  <c r="L46" i="3"/>
  <c r="M46" i="3" s="1"/>
  <c r="O45" i="3"/>
  <c r="L45" i="3"/>
  <c r="M45" i="3" s="1"/>
  <c r="O44" i="3"/>
  <c r="M44" i="3"/>
  <c r="L44" i="3"/>
  <c r="O43" i="3"/>
  <c r="L43" i="3"/>
  <c r="M43" i="3" s="1"/>
  <c r="O42" i="3"/>
  <c r="L42" i="3"/>
  <c r="M42" i="3" s="1"/>
  <c r="O41" i="3"/>
  <c r="L41" i="3"/>
  <c r="M41" i="3" s="1"/>
  <c r="O40" i="3"/>
  <c r="M40" i="3"/>
  <c r="L40" i="3"/>
  <c r="O39" i="3"/>
  <c r="L39" i="3"/>
  <c r="M39" i="3" s="1"/>
  <c r="O38" i="3"/>
  <c r="L38" i="3"/>
  <c r="M38" i="3" s="1"/>
  <c r="O37" i="3"/>
  <c r="L37" i="3"/>
  <c r="M37" i="3" s="1"/>
  <c r="O36" i="3"/>
  <c r="M36" i="3"/>
  <c r="L36" i="3"/>
  <c r="O35" i="3"/>
  <c r="L35" i="3"/>
  <c r="M35" i="3" s="1"/>
  <c r="O34" i="3"/>
  <c r="L34" i="3"/>
  <c r="M34" i="3" s="1"/>
  <c r="O33" i="3"/>
  <c r="L33" i="3"/>
  <c r="M33" i="3" s="1"/>
  <c r="O32" i="3"/>
  <c r="M32" i="3"/>
  <c r="L32" i="3"/>
  <c r="O31" i="3"/>
  <c r="L31" i="3"/>
  <c r="M31" i="3" s="1"/>
  <c r="O30" i="3"/>
  <c r="L30" i="3"/>
  <c r="M30" i="3" s="1"/>
  <c r="O29" i="3"/>
  <c r="L29" i="3"/>
  <c r="M29" i="3" s="1"/>
  <c r="O28" i="3"/>
  <c r="M28" i="3"/>
  <c r="L28" i="3"/>
  <c r="O27" i="3"/>
  <c r="F9" i="3" s="1"/>
  <c r="L27" i="3"/>
  <c r="M27" i="3" s="1"/>
  <c r="O26" i="3"/>
  <c r="L26" i="3"/>
  <c r="M26" i="3" s="1"/>
  <c r="O25" i="3"/>
  <c r="L25" i="3"/>
  <c r="M25" i="3" s="1"/>
  <c r="O24" i="3"/>
  <c r="M24" i="3"/>
  <c r="L24" i="3"/>
  <c r="L23" i="3"/>
  <c r="M23" i="3" s="1"/>
  <c r="E19" i="3"/>
  <c r="C19" i="3"/>
  <c r="D19" i="3" s="1"/>
  <c r="B19" i="3"/>
  <c r="E18" i="3"/>
  <c r="C18" i="3"/>
  <c r="D18" i="3" s="1"/>
  <c r="B18" i="3"/>
  <c r="E17" i="3"/>
  <c r="C17" i="3"/>
  <c r="B17" i="3"/>
  <c r="E16" i="3"/>
  <c r="C16" i="3"/>
  <c r="D16" i="3" s="1"/>
  <c r="B16" i="3"/>
  <c r="F15" i="3"/>
  <c r="E15" i="3"/>
  <c r="C15" i="3"/>
  <c r="B15" i="3"/>
  <c r="E14" i="3"/>
  <c r="C14" i="3"/>
  <c r="B14" i="3"/>
  <c r="E13" i="3"/>
  <c r="C13" i="3"/>
  <c r="B13" i="3"/>
  <c r="E12" i="3"/>
  <c r="C12" i="3"/>
  <c r="B12" i="3"/>
  <c r="E11" i="3"/>
  <c r="C11" i="3"/>
  <c r="D11" i="3" s="1"/>
  <c r="B11" i="3"/>
  <c r="E10" i="3"/>
  <c r="B10" i="3"/>
  <c r="E9" i="3"/>
  <c r="C9" i="3"/>
  <c r="B9" i="3"/>
  <c r="B6" i="3"/>
  <c r="J4" i="3"/>
  <c r="G4" i="3"/>
  <c r="F4" i="3"/>
  <c r="E4" i="3"/>
  <c r="D4" i="3"/>
  <c r="B4" i="3"/>
  <c r="D14" i="3" l="1"/>
  <c r="D13" i="3"/>
  <c r="D9" i="3"/>
  <c r="D17" i="3"/>
  <c r="F17" i="3"/>
  <c r="D12" i="3"/>
  <c r="H4" i="3"/>
  <c r="D15" i="3"/>
  <c r="D10" i="3"/>
  <c r="F13" i="3"/>
  <c r="F10" i="3"/>
  <c r="F16" i="3"/>
  <c r="F12" i="3"/>
  <c r="I4" i="3"/>
  <c r="F14" i="3"/>
  <c r="F11" i="3"/>
  <c r="F18" i="3"/>
  <c r="F19" i="3"/>
</calcChain>
</file>

<file path=xl/sharedStrings.xml><?xml version="1.0" encoding="utf-8"?>
<sst xmlns="http://schemas.openxmlformats.org/spreadsheetml/2006/main" count="3741" uniqueCount="1430">
  <si>
    <t>VOCAB MATE MVP - API DESIGN (NO AI / NO AI AGENT)</t>
  </si>
  <si>
    <t>NestJS + Prisma + PostgreSQL | REST API | Modular Monolith | Base URL: /api/v1 | Tổng API: 94</t>
  </si>
  <si>
    <t>Router</t>
  </si>
  <si>
    <t>Endpoint</t>
  </si>
  <si>
    <t>Mô tả</t>
  </si>
  <si>
    <t>Method</t>
  </si>
  <si>
    <t>Input (req.body / query / params)</t>
  </si>
  <si>
    <t>Output (res.body)</t>
  </si>
  <si>
    <t>Middleware / Guard</t>
  </si>
  <si>
    <t>Errors (Unhappy path)</t>
  </si>
  <si>
    <t>Notes</t>
  </si>
  <si>
    <t>Packages</t>
  </si>
  <si>
    <t>Test</t>
  </si>
  <si>
    <t>/health</t>
  </si>
  <si>
    <t>HealthModule</t>
  </si>
  <si>
    <t>Liveness/readiness check cho API và PostgreSQL.</t>
  </si>
  <si>
    <t>Kiểm tra trạng thái API và kết nối cơ sở dữ liệu</t>
  </si>
  <si>
    <t>GET</t>
  </si>
  <si>
    <t>Không có</t>
  </si>
  <si>
    <t>{ status, timestamp, database }</t>
  </si>
  <si>
    <t>Public</t>
  </si>
  <si>
    <t>503: database unavailable</t>
  </si>
  <si>
    <t>Không trả thông tin nhạy cảm về môi trường.</t>
  </si>
  <si>
    <t>@nestjs/terminus (optional), @prisma/client</t>
  </si>
  <si>
    <t>E2E: API trả 200; mô phỏng DB lỗi trả 503</t>
  </si>
  <si>
    <t>/auth</t>
  </si>
  <si>
    <t>AuthModule</t>
  </si>
  <si>
    <t>Đăng ký, đăng nhập, refresh/logout và đổi mật khẩu.</t>
  </si>
  <si>
    <t>/auth/register</t>
  </si>
  <si>
    <t>Đăng ký tài khoản USER và tạo hồ sơ học tập</t>
  </si>
  <si>
    <t>POST</t>
  </si>
  <si>
    <t>body: email, password, displayName, currentCefrLevel, learningGoal?, preferredLanguage?</t>
  </si>
  <si>
    <t>{ user, accessToken } + refreshToken HttpOnly cookie</t>
  </si>
  <si>
    <t>ValidationPipe, Throttler</t>
  </si>
  <si>
    <t>400: dữ liệu không hợp lệ
409: email đã tồn tại</t>
  </si>
  <si>
    <t>Transaction tạo users + user_profiles; role mặc định USER; không trả password_hash.</t>
  </si>
  <si>
    <t>@nestjs/jwt, passport, passport-jwt, bcrypt, class-validator</t>
  </si>
  <si>
    <t>Unit: hash password, duplicate email
E2E: register thành công/409</t>
  </si>
  <si>
    <t>/auth/login</t>
  </si>
  <si>
    <t>Đăng nhập bằng email và mật khẩu</t>
  </si>
  <si>
    <t>body: email, password</t>
  </si>
  <si>
    <t>401: thông tin đăng nhập không đúng
403: tài khoản SUSPENDED/DISABLED</t>
  </si>
  <si>
    <t>Cập nhật last_login_at; cookie Secure/SameSite theo môi trường.</t>
  </si>
  <si>
    <t>@nestjs/jwt, passport, bcrypt</t>
  </si>
  <si>
    <t>Unit: verify password/status
E2E: login success/401/403</t>
  </si>
  <si>
    <t>/auth/refresh</t>
  </si>
  <si>
    <t>Cấp access token mới từ refresh token</t>
  </si>
  <si>
    <t>cookie: refreshToken</t>
  </si>
  <si>
    <t>{ accessToken } + rotated refreshToken cookie</t>
  </si>
  <si>
    <t>RefreshJwtGuard, Throttler</t>
  </si>
  <si>
    <t>401: thiếu token
403: token hết hạn/không hợp lệ</t>
  </si>
  <si>
    <t>Không nhận token qua body; xoay refresh token nếu áp dụng.</t>
  </si>
  <si>
    <t>@nestjs/jwt, passport-jwt</t>
  </si>
  <si>
    <t>Unit: expired/invalid token
E2E: refresh success/403</t>
  </si>
  <si>
    <t>/auth/logout</t>
  </si>
  <si>
    <t>Đăng xuất và xóa refresh-token cookie</t>
  </si>
  <si>
    <t>{ message }</t>
  </si>
  <si>
    <t>JwtAuthGuard</t>
  </si>
  <si>
    <t>401: access token không hợp lệ</t>
  </si>
  <si>
    <t>Idempotent; luôn clear cookie.</t>
  </si>
  <si>
    <t>@nestjs/jwt, cookie-parser</t>
  </si>
  <si>
    <t>E2E: cookie bị xóa; gọi lại vẫn an toàn</t>
  </si>
  <si>
    <t>/auth/change-password</t>
  </si>
  <si>
    <t>Đổi mật khẩu của tài khoản đang đăng nhập</t>
  </si>
  <si>
    <t>PATCH</t>
  </si>
  <si>
    <t>body: currentPassword, newPassword</t>
  </si>
  <si>
    <t>JwtAuthGuard, ValidationPipe</t>
  </si>
  <si>
    <t>400: password yếu
401: currentPassword sai</t>
  </si>
  <si>
    <t>Băm mật khẩu mới; vô hiệu hóa refresh cookie hiện tại.</t>
  </si>
  <si>
    <t>bcrypt, class-validator</t>
  </si>
  <si>
    <t>Unit: old password mismatch; hash new password
E2E: login bằng mật khẩu mới</t>
  </si>
  <si>
    <t>/users | /admin/users</t>
  </si>
  <si>
    <t>UsersModule</t>
  </si>
  <si>
    <t>Hồ sơ học tập của user và quản trị trạng thái/role tài khoản.</t>
  </si>
  <si>
    <t>/users/me</t>
  </si>
  <si>
    <t>Lấy thông tin tài khoản và hồ sơ học tập hiện tại</t>
  </si>
  <si>
    <t>{ id, email, role, status, profile }</t>
  </si>
  <si>
    <t>401: chưa đăng nhập</t>
  </si>
  <si>
    <t>Không trả password_hash.</t>
  </si>
  <si>
    <t>@prisma/client</t>
  </si>
  <si>
    <t>E2E: trả đúng user từ token; không lộ password_hash</t>
  </si>
  <si>
    <t>Cập nhật hồ sơ cá nhân và cấu hình học tập</t>
  </si>
  <si>
    <t>body: displayName?, avatarUrl?, currentCefrLevel?, learningGoal?, preferredLanguage?</t>
  </si>
  <si>
    <t>{ user, profile }</t>
  </si>
  <si>
    <t>400: field không hợp lệ</t>
  </si>
  <si>
    <t>Chỉ cập nhật user_profiles; email/role/status không sửa ở API này.</t>
  </si>
  <si>
    <t>class-validator, @prisma/client</t>
  </si>
  <si>
    <t>Unit: partial update
E2E: chỉ cập nhật chính chủ</t>
  </si>
  <si>
    <t>/admin/users</t>
  </si>
  <si>
    <t>Admin xem danh sách người dùng có phân trang và bộ lọc</t>
  </si>
  <si>
    <t>query: page, limit, q?, role?, status?, sort?</t>
  </si>
  <si>
    <t>{ items, meta }</t>
  </si>
  <si>
    <t>JwtAuthGuard, RolesGuard(ADMIN)</t>
  </si>
  <si>
    <t>400: query sai
403: không phải ADMIN</t>
  </si>
  <si>
    <t>Tìm theo email/displayName; không trả password_hash.</t>
  </si>
  <si>
    <t>Unit: filter/pagination
E2E: USER bị 403</t>
  </si>
  <si>
    <t>/admin/users/:userId</t>
  </si>
  <si>
    <t>Admin xem chi tiết một người dùng</t>
  </si>
  <si>
    <t>params: userId</t>
  </si>
  <si>
    <t>{ user, profile, learningSummary }</t>
  </si>
  <si>
    <t>404: user không tồn tại</t>
  </si>
  <si>
    <t>learningSummary chỉ là aggregate nhẹ; thống kê sâu nằm ở Analytics.</t>
  </si>
  <si>
    <t>E2E: 200/404/403</t>
  </si>
  <si>
    <t>/admin/users/:userId/status</t>
  </si>
  <si>
    <t>Khóa, mở khóa hoặc vô hiệu hóa tài khoản</t>
  </si>
  <si>
    <t>params: userId
body: status (ACTIVE|SUSPENDED|DISABLED)</t>
  </si>
  <si>
    <t>{ id, status, updatedAt }</t>
  </si>
  <si>
    <t>JwtAuthGuard, RolesGuard(ADMIN), ValidationPipe</t>
  </si>
  <si>
    <t>400: status sai
404: user không tồn tại
409: tự khóa tài khoản admin hiện tại</t>
  </si>
  <si>
    <t>Không xóa dữ liệu học tập; dùng trạng thái tài khoản.</t>
  </si>
  <si>
    <t>Unit: prevent self-disable
E2E: status transition</t>
  </si>
  <si>
    <t>/admin/users/:userId/role</t>
  </si>
  <si>
    <t>Thay đổi vai trò USER/ADMIN</t>
  </si>
  <si>
    <t>params: userId
body: role (USER|ADMIN)</t>
  </si>
  <si>
    <t>{ id, role, updatedAt }</t>
  </si>
  <si>
    <t>400: role sai
404: user không tồn tại
409: hạ quyền admin cuối cùng/tự hạ quyền</t>
  </si>
  <si>
    <t>Bảo vệ ít nhất một ADMIN hoạt động.</t>
  </si>
  <si>
    <t>Unit: last-admin guard
E2E: USER bị 403</t>
  </si>
  <si>
    <t>/categories | /admin/categories</t>
  </si>
  <si>
    <t>CategoriesModule</t>
  </si>
  <si>
    <t>Danh mục bài báo public và CRUD cho admin.</t>
  </si>
  <si>
    <t>/categories</t>
  </si>
  <si>
    <t>Lấy danh sách danh mục đang hoạt động</t>
  </si>
  <si>
    <t>query: q?, sort?</t>
  </si>
  <si>
    <t>{ items }</t>
  </si>
  <si>
    <t>400: query sai</t>
  </si>
  <si>
    <t>Chỉ trả is_active=true; sort theo display_order rồi name.</t>
  </si>
  <si>
    <t>E2E: chỉ trả active và đúng thứ tự</t>
  </si>
  <si>
    <t>/categories/:slug</t>
  </si>
  <si>
    <t>Lấy chi tiết danh mục theo slug</t>
  </si>
  <si>
    <t>params: slug</t>
  </si>
  <si>
    <t>{ category }</t>
  </si>
  <si>
    <t>404: category không tồn tại/không active</t>
  </si>
  <si>
    <t>Dùng cho trang lọc bài báo theo category.</t>
  </si>
  <si>
    <t>E2E: 200/404</t>
  </si>
  <si>
    <t>/admin/categories</t>
  </si>
  <si>
    <t>Admin xem toàn bộ danh mục</t>
  </si>
  <si>
    <t>query: page, limit, q?, isActive?</t>
  </si>
  <si>
    <t>403: không phải ADMIN</t>
  </si>
  <si>
    <t>Bao gồm cả danh mục inactive.</t>
  </si>
  <si>
    <t>E2E: filter active/inactive</t>
  </si>
  <si>
    <t>/admin/categories/:categoryId</t>
  </si>
  <si>
    <t>Admin xem chi tiết danh mục</t>
  </si>
  <si>
    <t>params: categoryId</t>
  </si>
  <si>
    <t>{ category, articleCount }</t>
  </si>
  <si>
    <t>404: category không tồn tại</t>
  </si>
  <si>
    <t>articleCount dùng để cảnh báo trước khi xóa.</t>
  </si>
  <si>
    <t>Tạo danh mục bài báo</t>
  </si>
  <si>
    <t>body: name, slug, description?, isActive?, displayOrder?</t>
  </si>
  <si>
    <t>400: dữ liệu sai
409: slug trùng</t>
  </si>
  <si>
    <t>Ghi created_by_user_id và updated_by_user_id từ JWT.</t>
  </si>
  <si>
    <t>class-validator, slugify, @prisma/client</t>
  </si>
  <si>
    <t>Unit: slug uniqueness
E2E: create 201/409</t>
  </si>
  <si>
    <t>Cập nhật danh mục</t>
  </si>
  <si>
    <t>params: categoryId
body: name?, slug?, description?, displayOrder?</t>
  </si>
  <si>
    <t>404: không tồn tại
409: slug trùng</t>
  </si>
  <si>
    <t>Không đổi is_active tại API này; dùng endpoint status.</t>
  </si>
  <si>
    <t>E2E: partial update/409</t>
  </si>
  <si>
    <t>/admin/categories/:categoryId/status</t>
  </si>
  <si>
    <t>Bật hoặc tắt danh mục</t>
  </si>
  <si>
    <t>params: categoryId
body: isActive</t>
  </si>
  <si>
    <t>{ id, isActive }</t>
  </si>
  <si>
    <t>404: không tồn tại
409: tắt danh mục đang có bài PUBLISHED nếu policy không cho phép</t>
  </si>
  <si>
    <t>Có thể vẫn giữ bài cũ nhưng category không xuất hiện trong filter.</t>
  </si>
  <si>
    <t>Unit: business rule
E2E: toggle status</t>
  </si>
  <si>
    <t>Xóa danh mục chưa được sử dụng</t>
  </si>
  <si>
    <t>DELETE</t>
  </si>
  <si>
    <t>204 No Content</t>
  </si>
  <si>
    <t>404: không tồn tại
409: đang được articles tham chiếu</t>
  </si>
  <si>
    <t>Do FK RESTRICT; ưu tiên deactivate nếu đã được sử dụng.</t>
  </si>
  <si>
    <t>E2E: delete unused/409 used</t>
  </si>
  <si>
    <t>/articles | /admin/articles</t>
  </si>
  <si>
    <t>ArticlesModule</t>
  </si>
  <si>
    <t>CRUD bài báo, sanitize/parse HTML, quản lý sentence/term và publication.</t>
  </si>
  <si>
    <t>/articles</t>
  </si>
  <si>
    <t>Lấy danh sách bài báo đã publish</t>
  </si>
  <si>
    <t>query: page, limit, q?, categorySlug?, cefrLevel?, sort(newest|oldest)</t>
  </si>
  <si>
    <t>Không trả content_html trong danh sách; chỉ metadata/summary.</t>
  </si>
  <si>
    <t>Unit: filters/pagination
E2E: chỉ PUBLISHED</t>
  </si>
  <si>
    <t>/articles/:slug</t>
  </si>
  <si>
    <t>Lấy metadata chi tiết bài báo đã publish</t>
  </si>
  <si>
    <t>{ article, category, quizCount }</t>
  </si>
  <si>
    <t>404: không tồn tại/chưa publish</t>
  </si>
  <si>
    <t>Trang giới thiệu trước khi vào reader; content_html lấy qua ReadingModule.</t>
  </si>
  <si>
    <t>E2E: draft không truy cập được</t>
  </si>
  <si>
    <t>/admin/articles</t>
  </si>
  <si>
    <t>Admin xem danh sách bài báo mọi trạng thái</t>
  </si>
  <si>
    <t>query: page, limit, q?, categoryId?, cefrLevel?, status?, sort?</t>
  </si>
  <si>
    <t>Bao gồm DRAFT/PUBLISHED/ARCHIVED.</t>
  </si>
  <si>
    <t>E2E: filters và pagination</t>
  </si>
  <si>
    <t>/admin/articles/:articleId</t>
  </si>
  <si>
    <t>Admin xem chi tiết bài báo và trạng thái nội dung</t>
  </si>
  <si>
    <t>params: articleId</t>
  </si>
  <si>
    <t>{ article, sentenceCount, termCount, quizCount }</t>
  </si>
  <si>
    <t>404: article không tồn tại</t>
  </si>
  <si>
    <t>Không tải toàn bộ sentence/term nếu chưa được yêu cầu.</t>
  </si>
  <si>
    <t>Tạo bài báo dạng DRAFT</t>
  </si>
  <si>
    <t>body: categoryId, title, slug, summary, contentHtml, cefrLevel, sourceName?, sourceUrl?, authorName?, thumbnailUrl?</t>
  </si>
  <si>
    <t>{ article }</t>
  </si>
  <si>
    <t>400: HTML/field sai
404: category không tồn tại
409: slug trùng</t>
  </si>
  <si>
    <t>Sanitize HTML trước khi lưu; content_version=1; chưa tự publish.</t>
  </si>
  <si>
    <t>sanitize-html, slugify, class-validator, @prisma/client</t>
  </si>
  <si>
    <t>Unit: sanitize/slug/category
E2E: create draft 201</t>
  </si>
  <si>
    <t>Cập nhật metadata hoặc content HTML</t>
  </si>
  <si>
    <t>params: articleId
body: các field tạo bài (optional), reparseContent?</t>
  </si>
  <si>
    <t>{ article, contentChanged }</t>
  </si>
  <si>
    <t>400: field/HTML sai
404: không tồn tại
409: slug trùng hoặc sửa article archived</t>
  </si>
  <si>
    <t>Nếu contentHtml đổi: tăng content_version; yêu cầu parse lại trước publish.</t>
  </si>
  <si>
    <t>sanitize-html, slugify, @prisma/client</t>
  </si>
  <si>
    <t>Unit: content version increment
E2E: metadata-only vs content update</t>
  </si>
  <si>
    <t>Xóa bài DRAFT chưa phát sinh dữ liệu học</t>
  </si>
  <si>
    <t>404: không tồn tại
409: article đã publish/có progress/vocabulary/review</t>
  </si>
  <si>
    <t>Bài đã dùng thực tế phải archive, không hard delete.</t>
  </si>
  <si>
    <t>E2E: delete draft/409 used</t>
  </si>
  <si>
    <t>/admin/articles/:articleId/parse-content</t>
  </si>
  <si>
    <t>Parse content_html thành sentence và gắn data-sentence-id</t>
  </si>
  <si>
    <t>params: articleId
body: force?</t>
  </si>
  <si>
    <t>{ contentVersion, sentenceCount, contentHtml }</t>
  </si>
  <si>
    <t>404: article không tồn tại
409: đã parse version hiện tại
422: HTML không parse được</t>
  </si>
  <si>
    <t>Transaction: deactivate sentence version cũ, tạo version mới, cập nhật HTML markers.</t>
  </si>
  <si>
    <t>sanitize-html, cheerio, Intl.Segmenter, @prisma/client</t>
  </si>
  <si>
    <t>Unit: split/marker/idempotency
E2E: parse thành công và rollback khi lỗi</t>
  </si>
  <si>
    <t>/admin/articles/:articleId/sentences</t>
  </si>
  <si>
    <t>Lấy danh sách sentence của version hiện tại</t>
  </si>
  <si>
    <t>params: articleId
query: page, limit, isActive?</t>
  </si>
  <si>
    <t>{ items, meta, contentVersion }</t>
  </si>
  <si>
    <t>Sort theo sentence_order.</t>
  </si>
  <si>
    <t>E2E: order/pagination/version</t>
  </si>
  <si>
    <t>/admin/articles/:articleId/sentences/:sentenceId</t>
  </si>
  <si>
    <t>Lấy chi tiết sentence và các term bên trong</t>
  </si>
  <si>
    <t>params: articleId, sentenceId</t>
  </si>
  <si>
    <t>{ sentence, terms }</t>
  </si>
  <si>
    <t>404: sentence không thuộc article</t>
  </si>
  <si>
    <t>Dùng màn hình admin gắn metadata từ vựng.</t>
  </si>
  <si>
    <t>E2E: ownership check</t>
  </si>
  <si>
    <t>Cập nhật bản dịch và giải thích câu</t>
  </si>
  <si>
    <t>params: articleId, sentenceId
body: translationVi?, explanationVi?, referenceExplanation?, skill?, isActive?</t>
  </si>
  <si>
    <t>{ sentence }</t>
  </si>
  <si>
    <t>400: text rỗng
404: sentence không thuộc article</t>
  </si>
  <si>
    <t>Không sửa sentence_text trực tiếp; thay đổi nội dung gốc qua articles.content_html rồi parse lại.</t>
  </si>
  <si>
    <t>Unit: immutable sentenceText
E2E: partial update</t>
  </si>
  <si>
    <t>/admin/articles/:articleId/sentences/:sentenceId/terms</t>
  </si>
  <si>
    <t>Thêm từ/cụm từ theo ngữ cảnh cho một sentence</t>
  </si>
  <si>
    <t>params: articleId, sentenceId
body: value, wordDisplay, lemma, normalizedLemma, unitType, partOfSpeech, ipa?, cefrLevel, contextualMeaningVi, definitionEn?, contextualExplanation?, synonyms?, antonyms?, collocations?, relatedTerms?, vocabularyTopic?, examples?, skill?, isLookupEnabled?, isActive?</t>
  </si>
  <si>
    <t>{ term, updatedContentHtml }</t>
  </si>
  <si>
    <t>400: metadata sai
404: sentence không thuộc article
409: term marker trùng
422: value không tồn tại trong sentence</t>
  </si>
  <si>
    <t>Tạo term, gắn data-term-id vào HTML; không lưu character offsets.</t>
  </si>
  <si>
    <t>cheerio, class-validator, @prisma/client</t>
  </si>
  <si>
    <t>Unit: word/phrase match, marker generation
E2E: transaction rollback</t>
  </si>
  <si>
    <t>/admin/articles/:articleId/terms</t>
  </si>
  <si>
    <t>Admin lấy danh sách term trong bài</t>
  </si>
  <si>
    <t>params: articleId
query: page, limit, sentenceId?, cefrLevel?, unitType?, isActive?, q?</t>
  </si>
  <si>
    <t>Cho phép kiểm tra nhanh term thiếu definition/translation.</t>
  </si>
  <si>
    <t>E2E: filter/pagination</t>
  </si>
  <si>
    <t>/admin/articles/:articleId/terms/:termId</t>
  </si>
  <si>
    <t>Admin xem đầy đủ metadata của term</t>
  </si>
  <si>
    <t>params: articleId, termId</t>
  </si>
  <si>
    <t>{ term, sentence }</t>
  </si>
  <si>
    <t>404: term không thuộc article</t>
  </si>
  <si>
    <t>Trả cả sentence context.</t>
  </si>
  <si>
    <t>Cập nhật metadata và trạng thái lookup của term</t>
  </si>
  <si>
    <t>params: articleId, termId
body (optional): value, wordDisplay, lemma, normalizedLemma, unitType, partOfSpeech, ipa?, cefrLevel, contextualMeaningVi, definitionEn?, contextualExplanation?, synonyms?, antonyms?, collocations?, relatedTerms?, vocabularyTopic?, examples?, skill?, isLookupEnabled?, isActive?</t>
  </si>
  <si>
    <t>{ term, contentHtmlChanged }</t>
  </si>
  <si>
    <t>400: metadata sai
404: term không thuộc article
422: đổi value không khớp sentence</t>
  </si>
  <si>
    <t>Nếu thay value/marker: cập nhật content_html an toàn trong transaction.</t>
  </si>
  <si>
    <t>Unit: update metadata/marker
E2E: rollback khi marker lỗi</t>
  </si>
  <si>
    <t>Xóa term khỏi sentence và gỡ marker HTML</t>
  </si>
  <si>
    <t>404: term không thuộc article
409: term đã được user lưu/được quiz tham chiếu</t>
  </si>
  <si>
    <t>Nếu đã được sử dụng, chuyển is_active/is_lookup_enabled=false thay vì hard delete.</t>
  </si>
  <si>
    <t>cheerio, @prisma/client</t>
  </si>
  <si>
    <t>E2E: delete unused/409 referenced</t>
  </si>
  <si>
    <t>/admin/articles/:articleId/publish</t>
  </si>
  <si>
    <t>Publish bài báo sau khi validate nội dung</t>
  </si>
  <si>
    <t>{ id, status, publishedAt }</t>
  </si>
  <si>
    <t>404: không tồn tại
409: đã publish
422: chưa parse/thiếu category/summary/sentence/term bắt buộc</t>
  </si>
  <si>
    <t>ArticlePublicationService chạy checklist trước khi đổi trạng thái.</t>
  </si>
  <si>
    <t>Unit: publication checklist
E2E: publish/422</t>
  </si>
  <si>
    <t>/admin/articles/:articleId/archive</t>
  </si>
  <si>
    <t>Archive bài báo đang publish hoặc draft</t>
  </si>
  <si>
    <t>{ id, status, archivedAt }</t>
  </si>
  <si>
    <t>404: không tồn tại
409: đã archived</t>
  </si>
  <si>
    <t>Không xóa progress/vocabulary snapshot của user.</t>
  </si>
  <si>
    <t>E2E: archived article biến mất khỏi public list</t>
  </si>
  <si>
    <t>/admin/articles/:articleId/restore-draft</t>
  </si>
  <si>
    <t>Đưa bài ARCHIVED về DRAFT để chỉnh sửa</t>
  </si>
  <si>
    <t>{ id, status }</t>
  </si>
  <si>
    <t>404: không tồn tại
409: trạng thái không hợp lệ</t>
  </si>
  <si>
    <t>Xóa archived_at; published_at=null theo constraint.</t>
  </si>
  <si>
    <t>Unit: valid state transition
E2E: restore</t>
  </si>
  <si>
    <t>/admin/articles/:articleId/preview</t>
  </si>
  <si>
    <t>Preview reader cho bài draft/published</t>
  </si>
  <si>
    <t>params: articleId
query: cefrLevel?</t>
  </si>
  <si>
    <t>{ article, contentHtml, terms, validationWarnings }</t>
  </si>
  <si>
    <t>404: không tồn tại</t>
  </si>
  <si>
    <t>Có thể giả lập highlight theo CEFR để admin kiểm tra trước publish.</t>
  </si>
  <si>
    <t>E2E: preview draft và warning</t>
  </si>
  <si>
    <t>/reading</t>
  </si>
  <si>
    <t>ReadingModule</t>
  </si>
  <si>
    <t>Reader payload theo CEFR, popup tra từ và tiến độ đọc.</t>
  </si>
  <si>
    <t>/reading/articles/:slug</t>
  </si>
  <si>
    <t>Tải reader payload đã cá nhân hóa theo CEFR user</t>
  </si>
  <si>
    <t>{ article, contentHtml, highlightedTermIds, progress }</t>
  </si>
  <si>
    <t>404: article chưa publish
403: account disabled</t>
  </si>
  <si>
    <t>Highlight term có cefr_level &gt;= user.current_cefr_level và is_lookup_enabled=true.</t>
  </si>
  <si>
    <t>Unit: CEFR comparison
E2E: reader payload + progress upsert</t>
  </si>
  <si>
    <t>/reading/articles/:articleId/terms/:termId</t>
  </si>
  <si>
    <t>Tra cứu nghĩa từ theo ngữ cảnh đã được admin nhập</t>
  </si>
  <si>
    <t>{ term, parentSentence, saveState }</t>
  </si>
  <si>
    <t>404: term/article không tồn tại
403: lookup disabled</t>
  </si>
  <si>
    <t>Không gọi AI; trả cache article_sentence_terms và article_sentences.</t>
  </si>
  <si>
    <t>Unit: ownership/active check
E2E: popup response</t>
  </si>
  <si>
    <t>/reading/history</t>
  </si>
  <si>
    <t>Lấy lịch sử đọc của user</t>
  </si>
  <si>
    <t>query: page, limit, status?, sort?</t>
  </si>
  <si>
    <t>Join metadata bài báo; chỉ dữ liệu chính chủ.</t>
  </si>
  <si>
    <t>E2E: pagination và ownership</t>
  </si>
  <si>
    <t>/reading/progress/:articleId</t>
  </si>
  <si>
    <t>Lấy tiến độ đọc một bài</t>
  </si>
  <si>
    <t>{ progress }</t>
  </si>
  <si>
    <t>Nếu chưa có record trả progress mặc định 0/READING.</t>
  </si>
  <si>
    <t>E2E: default vs existing</t>
  </si>
  <si>
    <t>Tạo hoặc cập nhật tiến độ đọc</t>
  </si>
  <si>
    <t>PUT</t>
  </si>
  <si>
    <t>params: articleId
body: progressPercent?, lastBlockKey?</t>
  </si>
  <si>
    <t>400: percent ngoài 0-100
404: article không tồn tại</t>
  </si>
  <si>
    <t>Upsert theo unique(user_id, article_id); cập nhật last_read_at.</t>
  </si>
  <si>
    <t>Unit: upsert/bounds
E2E: create/update</t>
  </si>
  <si>
    <t>/reading/progress/:articleId/complete</t>
  </si>
  <si>
    <t>Đánh dấu hoàn thành bài đọc</t>
  </si>
  <si>
    <t>{ progress: { status, completedAt, progressPercent } }</t>
  </si>
  <si>
    <t>Set COMPLETED, completed_at=now, progress=100.</t>
  </si>
  <si>
    <t>E2E: constraint status/timestamp</t>
  </si>
  <si>
    <t>Đặt lại tiến độ đọc của user</t>
  </si>
  <si>
    <t>404: progress không tồn tại</t>
  </si>
  <si>
    <t>Không ảnh hưởng từ đã lưu hoặc quiz history.</t>
  </si>
  <si>
    <t>E2E: ownership/reset</t>
  </si>
  <si>
    <t>/vocabularies</t>
  </si>
  <si>
    <t>VocabulariesModule</t>
  </si>
  <si>
    <t>Lưu snapshot từ theo ngữ cảnh và quản lý trạng thái học cá nhân.</t>
  </si>
  <si>
    <t>Lấy danh sách từ vựng cá nhân</t>
  </si>
  <si>
    <t>query: page, limit, q?, learningStatus?, cefrLevel?, collectionId?, dueOnly?, sort?</t>
  </si>
  <si>
    <t>Dữ liệu là snapshot trong user_vocabularies; không phụ thuộc term hiện tại.</t>
  </si>
  <si>
    <t>Unit: filters
E2E: ownership/pagination</t>
  </si>
  <si>
    <t>/vocabularies/:userVocabularyId</t>
  </si>
  <si>
    <t>Lấy chi tiết một từ đã lưu</t>
  </si>
  <si>
    <t>params: userVocabularyId</t>
  </si>
  <si>
    <t>{ vocabulary, collections, sourceArticle }</t>
  </si>
  <si>
    <t>404: không tồn tại/không thuộc user</t>
  </si>
  <si>
    <t>Trả snapshot + link nguồn; không lộ dữ liệu user khác.</t>
  </si>
  <si>
    <t>E2E: ownership</t>
  </si>
  <si>
    <t>Lưu term từ bài báo vào danh sách học</t>
  </si>
  <si>
    <t>body: articleSentenceTermId, personalNote?, collectionIds?</t>
  </si>
  <si>
    <t>{ vocabulary, collections }</t>
  </si>
  <si>
    <t>404: term không tồn tại/disabled
409: đã lưu
422: collection không thuộc user</t>
  </si>
  <si>
    <t>Transaction tạo snapshot; learning_status=NEW; có thể gắn nhiều collection.</t>
  </si>
  <si>
    <t>Unit: snapshot/duplicate/collection ownership
E2E: save 201</t>
  </si>
  <si>
    <t>Cập nhật ghi chú cá nhân</t>
  </si>
  <si>
    <t>params: userVocabularyId
body: personalNote</t>
  </si>
  <si>
    <t>{ vocabulary }</t>
  </si>
  <si>
    <t>404: không thuộc user</t>
  </si>
  <si>
    <t>Không cho sửa snapshot nghĩa/lemma từ phía user.</t>
  </si>
  <si>
    <t>E2E: update note/ownership</t>
  </si>
  <si>
    <t>/vocabularies/:userVocabularyId/status</t>
  </si>
  <si>
    <t>Cập nhật trạng thái học của từ</t>
  </si>
  <si>
    <t>params: userVocabularyId
body: learningStatus (NEW|LEARNING|REVIEWING|MASTERED|IGNORED)</t>
  </si>
  <si>
    <t>{ id, learningStatus, updatedAt }</t>
  </si>
  <si>
    <t>400: status sai
404: không thuộc user</t>
  </si>
  <si>
    <t>Scheduler có thể tự cập nhật LEARNING/REVIEWING sau quiz.</t>
  </si>
  <si>
    <t>Unit: transitions
E2E: status update</t>
  </si>
  <si>
    <t>Xóa từ khỏi danh sách học cá nhân</t>
  </si>
  <si>
    <t>Cascade xóa collection items; lịch sử review giữ theo FK policy hiện tại nên có thể 409 nếu đã tham chiếu.</t>
  </si>
  <si>
    <t>E2E: delete unused/handling referenced history</t>
  </si>
  <si>
    <t>/vocabularies/due</t>
  </si>
  <si>
    <t>Lấy danh sách từ đến hạn ôn</t>
  </si>
  <si>
    <t>query: limit?, collectionId?</t>
  </si>
  <si>
    <t>{ items, totalDue }</t>
  </si>
  <si>
    <t>Điều kiện next_review_at &lt;= now; NEW chưa có lịch có thể được ưu tiên.</t>
  </si>
  <si>
    <t>Unit: due ordering
E2E: only current user</t>
  </si>
  <si>
    <t>/collections</t>
  </si>
  <si>
    <t>CollectionsModule</t>
  </si>
  <si>
    <t>Tạo collection và quan hệ nhiều-nhiều với từ đã lưu.</t>
  </si>
  <si>
    <t>Lấy danh sách bộ sưu tập của user</t>
  </si>
  <si>
    <t>query: page?, limit?, q?</t>
  </si>
  <si>
    <t>Mỗi item kèm vocabularyCount.</t>
  </si>
  <si>
    <t>E2E: ownership/count</t>
  </si>
  <si>
    <t>Tạo bộ sưu tập từ vựng</t>
  </si>
  <si>
    <t>body: name, description?</t>
  </si>
  <si>
    <t>{ collection }</t>
  </si>
  <si>
    <t>400: tên rỗng
409: trùng tên trong cùng user</t>
  </si>
  <si>
    <t>Unique(user_id, name).</t>
  </si>
  <si>
    <t>E2E: create/409</t>
  </si>
  <si>
    <t>/collections/:collectionId</t>
  </si>
  <si>
    <t>Lấy chi tiết bộ sưu tập</t>
  </si>
  <si>
    <t>params: collectionId</t>
  </si>
  <si>
    <t>{ collection, vocabularyCount }</t>
  </si>
  <si>
    <t>Không tải toàn bộ items; dùng endpoint items.</t>
  </si>
  <si>
    <t>Đổi tên hoặc mô tả bộ sưu tập</t>
  </si>
  <si>
    <t>params: collectionId
body: name?, description?</t>
  </si>
  <si>
    <t>404: không thuộc user
409: tên trùng</t>
  </si>
  <si>
    <t>Partial update.</t>
  </si>
  <si>
    <t>E2E: update/409</t>
  </si>
  <si>
    <t>Xóa bộ sưu tập nhưng không xóa từ đã lưu</t>
  </si>
  <si>
    <t>Cascade chỉ xóa vocabulary_collection_items.</t>
  </si>
  <si>
    <t>E2E: vocabulary vẫn tồn tại</t>
  </si>
  <si>
    <t>/collections/:collectionId/items</t>
  </si>
  <si>
    <t>Lấy từ vựng trong bộ sưu tập</t>
  </si>
  <si>
    <t>params: collectionId
query: page, limit, q?, learningStatus?, sort?</t>
  </si>
  <si>
    <t>404: collection không thuộc user</t>
  </si>
  <si>
    <t>Join user_vocabularies và sort theo added_at.</t>
  </si>
  <si>
    <t>E2E: filter/pagination/ownership</t>
  </si>
  <si>
    <t>Thêm một hoặc nhiều từ vào collection</t>
  </si>
  <si>
    <t>params: collectionId
body: userVocabularyIds[]</t>
  </si>
  <si>
    <t>{ addedCount, skippedCount }</t>
  </si>
  <si>
    <t>404: collection không thuộc user
422: vocabulary không thuộc user</t>
  </si>
  <si>
    <t>Insert many, bỏ qua item đã tồn tại; validate ownership trước transaction.</t>
  </si>
  <si>
    <t>Unit: ownership/deduplicate
E2E: bulk add</t>
  </si>
  <si>
    <t>/collections/:collectionId/items/:userVocabularyId</t>
  </si>
  <si>
    <t>Xóa một từ khỏi collection</t>
  </si>
  <si>
    <t>params: collectionId, userVocabularyId</t>
  </si>
  <si>
    <t>404: relation không tồn tại/không thuộc user</t>
  </si>
  <si>
    <t>Không xóa user_vocabularies.</t>
  </si>
  <si>
    <t>E2E: remove relation only</t>
  </si>
  <si>
    <t>/quizzes | /admin/quizzes</t>
  </si>
  <si>
    <t>QuizzesModule</t>
  </si>
  <si>
    <t>Quiz public; admin quản lý quiz, questions, options và publication.</t>
  </si>
  <si>
    <t>/quizzes</t>
  </si>
  <si>
    <t>Lấy danh sách quiz đã publish</t>
  </si>
  <si>
    <t>query: page, limit, articleId?, q?</t>
  </si>
  <si>
    <t>Không trả đáp án đúng.</t>
  </si>
  <si>
    <t>E2E: only PUBLISHED/no answers</t>
  </si>
  <si>
    <t>/quizzes/:quizId</t>
  </si>
  <si>
    <t>Lấy thông tin quiz trước khi bắt đầu</t>
  </si>
  <si>
    <t>params: quizId</t>
  </si>
  <si>
    <t>{ quiz, questionCount, totalPoints, article }</t>
  </si>
  <si>
    <t>404: quiz chưa publish/không tồn tại</t>
  </si>
  <si>
    <t>Không trả question_options.is_correct.</t>
  </si>
  <si>
    <t>Security test: không lộ đáp án
E2E: 200/404</t>
  </si>
  <si>
    <t>/admin/quizzes</t>
  </si>
  <si>
    <t>Admin xem danh sách quiz mọi trạng thái</t>
  </si>
  <si>
    <t>query: page, limit, q?, articleId?, status?</t>
  </si>
  <si>
    <t>Kèm questionCount.</t>
  </si>
  <si>
    <t>/admin/quizzes/:quizId</t>
  </si>
  <si>
    <t>Admin xem quiz đầy đủ gồm câu hỏi và options</t>
  </si>
  <si>
    <t>{ quiz, questions[] }</t>
  </si>
  <si>
    <t>404: quiz không tồn tại</t>
  </si>
  <si>
    <t>Admin được xem đáp án đúng.</t>
  </si>
  <si>
    <t>E2E: nested order</t>
  </si>
  <si>
    <t>Tạo quiz DRAFT cho một bài báo</t>
  </si>
  <si>
    <t>body: articleId, title, description?</t>
  </si>
  <si>
    <t>{ quiz }</t>
  </si>
  <si>
    <t>404: article không tồn tại
409: article archived nếu policy cấm</t>
  </si>
  <si>
    <t>Quiz chỉ gắn với article; câu hỏi thêm sau.</t>
  </si>
  <si>
    <t>E2E: create draft 201</t>
  </si>
  <si>
    <t>Cập nhật title/description quiz</t>
  </si>
  <si>
    <t>params: quizId
body: title?, description?</t>
  </si>
  <si>
    <t>404: không tồn tại
409: archived</t>
  </si>
  <si>
    <t>Không đổi status tại API này.</t>
  </si>
  <si>
    <t>E2E: partial update</t>
  </si>
  <si>
    <t>Xóa quiz DRAFT chưa có review session</t>
  </si>
  <si>
    <t>404: không tồn tại
409: đã publish/có review session</t>
  </si>
  <si>
    <t>Quiz đã dùng phải archive.</t>
  </si>
  <si>
    <t>/admin/quizzes/:quizId/questions</t>
  </si>
  <si>
    <t>Thêm câu hỏi vào quiz</t>
  </si>
  <si>
    <t>params: quizId
body: articleVocabularyId, questionType, prompt, blankSentence?, correctAnswerText?, answerExplanation?, isCaseSensitive?, points?, displayOrder?, isActive?</t>
  </si>
  <si>
    <t>{ question }</t>
  </si>
  <si>
    <t>400: shape không hợp lệ
404: quiz/term không tồn tại
409: displayOrder trùng
422: term không thuộc article của quiz</t>
  </si>
  <si>
    <t>FILL_BLANK bắt buộc blankSentence + correctAnswerText.</t>
  </si>
  <si>
    <t>Unit: question shape/term ownership
E2E: create 201</t>
  </si>
  <si>
    <t>/admin/quizzes/:quizId/questions/:questionId</t>
  </si>
  <si>
    <t>Admin xem một câu hỏi và options</t>
  </si>
  <si>
    <t>params: quizId, questionId</t>
  </si>
  <si>
    <t>{ question, options }</t>
  </si>
  <si>
    <t>404: question không thuộc quiz</t>
  </si>
  <si>
    <t>Dùng màn hình edit.</t>
  </si>
  <si>
    <t>E2E: ownership/order</t>
  </si>
  <si>
    <t>Cập nhật câu hỏi</t>
  </si>
  <si>
    <t>params: quizId, questionId
body: các field câu hỏi (optional)</t>
  </si>
  <si>
    <t>400: shape sai
404: không thuộc quiz
409: displayOrder trùng</t>
  </si>
  <si>
    <t>Validate lại loại câu hỏi sau merge dữ liệu cũ + mới.</t>
  </si>
  <si>
    <t>Unit: partial shape validation
E2E: update</t>
  </si>
  <si>
    <t>Xóa câu hỏi chưa có answer history</t>
  </si>
  <si>
    <t>404: không thuộc quiz
409: đã có review_answers</t>
  </si>
  <si>
    <t>Nếu đã dùng, set is_active=false.</t>
  </si>
  <si>
    <t>E2E: delete/409</t>
  </si>
  <si>
    <t>/admin/quizzes/:quizId/questions/:questionId/options</t>
  </si>
  <si>
    <t>Thêm option cho câu hỏi trắc nghiệm</t>
  </si>
  <si>
    <t>params: quizId, questionId
body: optionText, isCorrect?, explanation?, displayOrder?</t>
  </si>
  <si>
    <t>{ option }</t>
  </si>
  <si>
    <t>400: option rỗng
404: question không thuộc quiz
409: displayOrder trùng</t>
  </si>
  <si>
    <t>Không tạo options cho FILL_BLANK.</t>
  </si>
  <si>
    <t>Unit: question type guard
E2E: create 201</t>
  </si>
  <si>
    <t>/admin/quizzes/:quizId/questions/:questionId/options/:optionId</t>
  </si>
  <si>
    <t>Cập nhật option</t>
  </si>
  <si>
    <t>params: quizId, questionId, optionId
body: optionText?, isCorrect?, explanation?, displayOrder?</t>
  </si>
  <si>
    <t>404: option không thuộc question
409: displayOrder trùng</t>
  </si>
  <si>
    <t>Publication validation đảm bảo đúng số đáp án đúng.</t>
  </si>
  <si>
    <t>E2E: update/ownership</t>
  </si>
  <si>
    <t>Xóa option chưa được dùng</t>
  </si>
  <si>
    <t>params: quizId, questionId, optionId</t>
  </si>
  <si>
    <t>404: không thuộc question
409: đã được review_answers tham chiếu</t>
  </si>
  <si>
    <t>Không cho xóa option đang được lịch sử chọn.</t>
  </si>
  <si>
    <t>/admin/quizzes/:quizId/publish</t>
  </si>
  <si>
    <t>Publish quiz sau khi kiểm tra câu hỏi/đáp án</t>
  </si>
  <si>
    <t>404: không tồn tại
409: đã publish
422: không có câu hỏi/đáp án không hợp lệ</t>
  </si>
  <si>
    <t>QuizPublicationService validate active questions, points, option correctness.</t>
  </si>
  <si>
    <t>Unit: publication rules
E2E: publish/422</t>
  </si>
  <si>
    <t>/admin/quizzes/:quizId/archive</t>
  </si>
  <si>
    <t>Archive quiz</t>
  </si>
  <si>
    <t>Review session đang chạy vẫn có thể hoàn tất bằng snapshot query hiện tại.</t>
  </si>
  <si>
    <t>E2E: public list không còn quiz</t>
  </si>
  <si>
    <t>/admin/quizzes/:quizId/restore-draft</t>
  </si>
  <si>
    <t>Đưa quiz archived về draft</t>
  </si>
  <si>
    <t>404: không tồn tại
409: trạng thái sai</t>
  </si>
  <si>
    <t>published_at=null.</t>
  </si>
  <si>
    <t>E2E: restore</t>
  </si>
  <si>
    <t>/reviews</t>
  </si>
  <si>
    <t>ReviewsModule</t>
  </si>
  <si>
    <t>Phiên làm quiz, chấm đáp án, kết quả và cập nhật lịch ôn.</t>
  </si>
  <si>
    <t>/reviews/sessions</t>
  </si>
  <si>
    <t>Bắt đầu phiên làm quiz</t>
  </si>
  <si>
    <t>body: quizId</t>
  </si>
  <si>
    <t>{ session, questions[] }</t>
  </si>
  <si>
    <t>404: quiz chưa publish
409: đã có session IN_PROGRESS cho quiz</t>
  </si>
  <si>
    <t>Không trả is_correct/correctAnswerText; random option order có thể làm ở service.</t>
  </si>
  <si>
    <t>Security: không lộ đáp án
E2E: start 201</t>
  </si>
  <si>
    <t>/reviews/sessions/:sessionId</t>
  </si>
  <si>
    <t>Lấy trạng thái và câu tiếp theo của session</t>
  </si>
  <si>
    <t>params: sessionId</t>
  </si>
  <si>
    <t>{ session, progress, nextQuestion? }</t>
  </si>
  <si>
    <t>Không trả câu đã inactive sau khi session bắt đầu nếu policy snapshot chưa hỗ trợ; khóa quiz edit khi có session.</t>
  </si>
  <si>
    <t>E2E: ownership/progress</t>
  </si>
  <si>
    <t>/reviews/sessions/:sessionId/answers</t>
  </si>
  <si>
    <t>Gửi và chấm một câu trả lời</t>
  </si>
  <si>
    <t>params: sessionId
body: quizQuestionId, selectedOptionId? | userAnswerText?, responseTimeMs?, attemptNumber?</t>
  </si>
  <si>
    <t>{ answerId, isCorrect, correctAnswer, explanation, earnedPoints }</t>
  </si>
  <si>
    <t>400: answer shape sai
404: session/question không hợp lệ
409: session đã kết thúc/đã trả lời</t>
  </si>
  <si>
    <t>AnswerGradingService chấm option hoặc text; ghi review_answers; scheduler cập nhật user_vocab nếu đã lưu.</t>
  </si>
  <si>
    <t>Unit: MCQ/FILL_BLANK grading
E2E: correct/incorrect/idempotency</t>
  </si>
  <si>
    <t>/reviews/sessions/:sessionId/complete</t>
  </si>
  <si>
    <t>Hoàn thành session và tính tổng điểm</t>
  </si>
  <si>
    <t>{ result: { score, totalPoints, accuracy, correctCount, completedAt } }</t>
  </si>
  <si>
    <t>404: session không thuộc user
409: đã complete/thiếu answer bắt buộc</t>
  </si>
  <si>
    <t>Set status=COMPLETED và completed_at trong transaction.</t>
  </si>
  <si>
    <t>Unit: score calculation
E2E: completion constraint</t>
  </si>
  <si>
    <t>/reviews/sessions/:sessionId/abandon</t>
  </si>
  <si>
    <t>Hủy phiên quiz đang thực hiện</t>
  </si>
  <si>
    <t>404: không thuộc user
409: session đã complete</t>
  </si>
  <si>
    <t>Set ABANDONED; giữ answers đã ghi để audit.</t>
  </si>
  <si>
    <t>E2E: abandon transition</t>
  </si>
  <si>
    <t>/reviews/history</t>
  </si>
  <si>
    <t>Lấy lịch sử làm quiz của user</t>
  </si>
  <si>
    <t>query: page, limit, status?, articleId?, quizId?, from?, to?</t>
  </si>
  <si>
    <t>400: date/query sai</t>
  </si>
  <si>
    <t>Mỗi item gồm score/accuracy tính từ answers.</t>
  </si>
  <si>
    <t>Unit: aggregates
E2E: ownership/pagination</t>
  </si>
  <si>
    <t>/reviews/sessions/:sessionId/result</t>
  </si>
  <si>
    <t>Xem chi tiết kết quả và đáp án của session hoàn tất</t>
  </si>
  <si>
    <t>{ result, answers[] }</t>
  </si>
  <si>
    <t>404: không thuộc user
409: session chưa complete</t>
  </si>
  <si>
    <t>Trả explanation và đáp án đúng sau khi hoàn thành.</t>
  </si>
  <si>
    <t>Security: chỉ chính chủ
E2E: completed only</t>
  </si>
  <si>
    <t>/reviews/due</t>
  </si>
  <si>
    <t>Gợi ý quiz/từ đến hạn ôn</t>
  </si>
  <si>
    <t>query: limit?, articleId?</t>
  </si>
  <si>
    <t>{ dueVocabularyCount, recommendedQuizzes[] }</t>
  </si>
  <si>
    <t>Rule đơn giản, không AI: next_review_at và quiz chứa article_sentence_term tương ứng.</t>
  </si>
  <si>
    <t>Unit: deterministic recommendation
E2E: current user only</t>
  </si>
  <si>
    <t>/analytics | /admin/analytics</t>
  </si>
  <si>
    <t>AnalyticsModule</t>
  </si>
  <si>
    <t>Dashboard user/admin bằng aggregate read-only, không dùng AI.</t>
  </si>
  <si>
    <t>/analytics/me/overview</t>
  </si>
  <si>
    <t>Dashboard học tập tổng quan của user</t>
  </si>
  <si>
    <t>query: from?, to?</t>
  </si>
  <si>
    <t>{ savedVocabulary, dueToday, mastered, articlesCompleted, quizAccuracy, sessions }</t>
  </si>
  <si>
    <t>400: date range sai</t>
  </si>
  <si>
    <t>Aggregate read-only; timezone theo user/app.</t>
  </si>
  <si>
    <t>Unit: aggregate edge cases
E2E: zero-data user</t>
  </si>
  <si>
    <t>/analytics/me/vocabulary</t>
  </si>
  <si>
    <t>Thống kê từ vựng theo trạng thái/CEFR/thời gian</t>
  </si>
  <si>
    <t>query: from?, to?, groupBy?</t>
  </si>
  <si>
    <t>{ totals, byStatus, byCefr, savedTrend }</t>
  </si>
  <si>
    <t>400: groupBy/date sai</t>
  </si>
  <si>
    <t>Dùng cho chart dashboard user.</t>
  </si>
  <si>
    <t>Unit: grouping
E2E: ownership</t>
  </si>
  <si>
    <t>/analytics/me/reading</t>
  </si>
  <si>
    <t>Thống kê hoạt động đọc bài</t>
  </si>
  <si>
    <t>{ opened, completed, completionRate, byCategory, trend }</t>
  </si>
  <si>
    <t>Không tính article archived là mất dữ liệu lịch sử.</t>
  </si>
  <si>
    <t>Unit: completion rate
E2E: zero denominator</t>
  </si>
  <si>
    <t>/analytics/me/quizzes</t>
  </si>
  <si>
    <t>Thống kê kết quả quiz</t>
  </si>
  <si>
    <t>query: from?, to?, articleId?</t>
  </si>
  <si>
    <t>{ sessions, accuracy, averageScore, byQuestionType, trend }</t>
  </si>
  <si>
    <t>Chỉ tính session COMPLETED.</t>
  </si>
  <si>
    <t>Unit: completed filter
E2E: aggregate</t>
  </si>
  <si>
    <t>/admin/analytics/overview</t>
  </si>
  <si>
    <t>Dashboard vận hành dành cho admin</t>
  </si>
  <si>
    <t>{ users, activeUsers, articles, publishedArticles, savedVocabulary, completedSessions }</t>
  </si>
  <si>
    <t>403: không phải ADMIN
400: date range sai</t>
  </si>
  <si>
    <t>Không trả dữ liệu cá nhân chi tiết.</t>
  </si>
  <si>
    <t>E2E: USER 403; aggregate sanity</t>
  </si>
  <si>
    <t>/admin/analytics/content</t>
  </si>
  <si>
    <t>Thống kê hiệu quả bài báo và quiz</t>
  </si>
  <si>
    <t>query: from?, to?, categoryId?</t>
  </si>
  <si>
    <t>{ topArticles, completionRates, termSaveCounts, quizPerformance }</t>
  </si>
  <si>
    <t>Cho biết content nào được đọc/lưu từ nhiều; phục vụ quản trị thủ công.</t>
  </si>
  <si>
    <t>Unit: ranking/aggregation
E2E: filter category</t>
  </si>
  <si>
    <t>/admin/analytics/users</t>
  </si>
  <si>
    <t>Thống kê mức độ hoạt động của user</t>
  </si>
  <si>
    <t>query: from?, to?, status?</t>
  </si>
  <si>
    <t>{ registrationsTrend, activeLearners, retentionProxy, learningDistribution }</t>
  </si>
  <si>
    <t>MVP dùng proxy đơn giản, không xây cohort engine phức tạp.</t>
  </si>
  <si>
    <t>Unit: active user definition
E2E: aggregate</t>
  </si>
  <si>
    <t>VOCAB MATE MVP - SWAGGER / OPENAPI API DOCUMENTATION</t>
  </si>
  <si>
    <t>NestJS + Prisma + PostgreSQL | MVP không có AI/AI Agent | Nguồn: SQL schema, Backend Structure PDF và tab API Design</t>
  </si>
  <si>
    <t>OpenAPI Version</t>
  </si>
  <si>
    <t>3.0.3</t>
  </si>
  <si>
    <t>Base URL</t>
  </si>
  <si>
    <t>/api/v1</t>
  </si>
  <si>
    <t>Content-Type</t>
  </si>
  <si>
    <t>application/json</t>
  </si>
  <si>
    <t>Authentication</t>
  </si>
  <si>
    <t>Bearer JWT</t>
  </si>
  <si>
    <t>Refresh Token</t>
  </si>
  <si>
    <t>HttpOnly Cookie</t>
  </si>
  <si>
    <t>Total APIs</t>
  </si>
  <si>
    <t>Modules</t>
  </si>
  <si>
    <t>SUCCESS ENVELOPE: { "success": true, "data": &lt;response&gt;, "meta"?: { "page", "limit", "total", "totalPages" } }</t>
  </si>
  <si>
    <t>ERROR ENVELOPE: { "success": false, "error": { "code": "STRING_CODE", "message": "Human-readable message", "details"?: [] } }</t>
  </si>
  <si>
    <t>PAGINATION: page &gt;= 1 | limit mặc định 20, tối đa 100 | sort theo whitelist | query được validate bằng DTO + ValidationPipe</t>
  </si>
  <si>
    <t>SWAGGER DECORATORS: @ApiTags | @ApiOperation | @ApiBearerAuth | @ApiParam | @ApiQuery | @ApiBody | @ApiOkResponse/@ApiCreatedResponse | @ApiBadRequestResponse/...</t>
  </si>
  <si>
    <t>Module / Tag</t>
  </si>
  <si>
    <t>Số API</t>
  </si>
  <si>
    <t>Base route</t>
  </si>
  <si>
    <t>REUSABLE OPENAPI COMPONENTS / DTO CONVENTIONS</t>
  </si>
  <si>
    <t>Health</t>
  </si>
  <si>
    <t>Security schemes
• BearerAuth: JWT access token trong Authorization header.
• CookieAuth: refreshToken trong HttpOnly cookie; chỉ dùng cho /auth/refresh.
Reusable schemas
• StandardSuccessResponse&lt;T&gt;: success + data + meta?.
• StandardErrorResponse: success=false + error.code/message/details?.
• PaginationMeta: page, limit, total, totalPages.
• UUID fields: string format uuid; datetime: ISO-8601.
NestJS Swagger implementation
• DTO dùng class-validator + @ApiProperty/@ApiPropertyOptional.
• Không expose passwordHash, internal token payload hoặc dữ liệu nhạy cảm.
• Mỗi operationId phải duy nhất; response phải khai báo đủ status code.
• Endpoint admin dùng @ApiBearerAuth() + RolesGuard(ADMIN).</t>
  </si>
  <si>
    <t>Auth</t>
  </si>
  <si>
    <t>Users</t>
  </si>
  <si>
    <t>Categories</t>
  </si>
  <si>
    <t>Articles</t>
  </si>
  <si>
    <t>Reading</t>
  </si>
  <si>
    <t>Vocabularies</t>
  </si>
  <si>
    <t>Collections</t>
  </si>
  <si>
    <t>Quizzes</t>
  </si>
  <si>
    <t>Reviews</t>
  </si>
  <si>
    <t>Analytics</t>
  </si>
  <si>
    <t>DETAILED OPERATIONS - SWAGGER STYLE</t>
  </si>
  <si>
    <t>API ID</t>
  </si>
  <si>
    <t>Tag / Module</t>
  </si>
  <si>
    <t>Operation ID / Summary</t>
  </si>
  <si>
    <t>Security</t>
  </si>
  <si>
    <t>Parameters</t>
  </si>
  <si>
    <t>Request Body Schema</t>
  </si>
  <si>
    <t>Request Example</t>
  </si>
  <si>
    <t>2xx Response Schema</t>
  </si>
  <si>
    <t>Success Response Example</t>
  </si>
  <si>
    <t>Error Responses</t>
  </si>
  <si>
    <t>Implementation Mapping</t>
  </si>
  <si>
    <t>Notes / Acceptance Tests</t>
  </si>
  <si>
    <t>HEA-001</t>
  </si>
  <si>
    <t>/api/v1/health</t>
  </si>
  <si>
    <t>operationId: getHealth
Summary: Kiểm tra trạng thái API và kết nối cơ sở dữ liệu</t>
  </si>
  <si>
    <t>Public
security: []</t>
  </si>
  <si>
    <t>Không có parameters.</t>
  </si>
  <si>
    <t>Không có request body.</t>
  </si>
  <si>
    <t>N/A</t>
  </si>
  <si>
    <t>200 OK
Schema: StandardSuccessResponse&lt;{ status, timestamp, database }&gt;</t>
  </si>
  <si>
    <t>{
  "success": true,
  "data": {
    "status": "ok",
    "timestamp": "2026-07-22T10:00:00Z",
    "database": "up"
  }
}</t>
  </si>
  <si>
    <t>503 Service Unavailable — database unavailable
500 Internal Server Error — lỗi ngoài dự kiến.</t>
  </si>
  <si>
    <t>Handler: HealthController -&gt; HealthService
DB tables: Không ghi DB
Guards/Middleware: Public
Packages: @nestjs/terminus (optional), @prisma/client</t>
  </si>
  <si>
    <t>Notes: Không trả thông tin nhạy cảm về môi trường.
Tests: E2E: API trả 200; mô phỏng DB lỗi trả 503</t>
  </si>
  <si>
    <t>AUT-001</t>
  </si>
  <si>
    <t>/api/v1/auth/register</t>
  </si>
  <si>
    <t>operationId: postAuthRegister
Summary: Đăng ký tài khoản USER và tạo hồ sơ học tập</t>
  </si>
  <si>
    <t>Content-Type: application/json
Schema: PostAuthRegisterDto
- email: string(email) (required)
- password: string(password) (required)
- displayName: string (required)
- currentCefrLevel: string enum[A1, A2, B1, B2, C1, C2] (required)
- learningGoal: string (optional)
- preferredLanguage: string (optional)</t>
  </si>
  <si>
    <t>{
  "email": "user@example.com",
  "password": "StrongPass@123",
  "displayName": "Nguyen Van A",
  "currentCefrLevel": "B1",
  "learningGoal": "10 từ/ngày"
}</t>
  </si>
  <si>
    <t>201 Created
Schema: StandardSuccessResponse&lt;{ user, accessToken } + refreshToken HttpOnly cookie&gt;</t>
  </si>
  <si>
    <t>{
  "success": true,
  "data": {
    "user": {
      "id": "550e8400-e29b-41d4-a716-446655440000",
      "email": "user@example.com",
      "role": "USER",
      "status": "ACTIVE"
    },
    "accessToken": "&lt;jwt-access-token&gt;"
  }
}</t>
  </si>
  <si>
    <t>400 Bad Request — dữ liệu không hợp lệ
409 Conflict — email đã tồn tại
500 Internal Server Error — lỗi ngoài dự kiến.</t>
  </si>
  <si>
    <t>Handler: AuthController -&gt; AuthService -&gt; UsersRepository
DB tables: users, user_profiles
Guards/Middleware: ValidationPipe, Throttler
Packages: @nestjs/jwt, passport, passport-jwt, bcrypt, class-validator</t>
  </si>
  <si>
    <t>Notes: Transaction tạo users + user_profiles; role mặc định USER; không trả password_hash.
Tests: Unit: hash password, duplicate email
E2E: register thành công/409</t>
  </si>
  <si>
    <t>AUT-002</t>
  </si>
  <si>
    <t>/api/v1/auth/login</t>
  </si>
  <si>
    <t>operationId: postAuthLogin
Summary: Đăng nhập bằng email và mật khẩu</t>
  </si>
  <si>
    <t>Content-Type: application/json
Schema: PostAuthLoginDto
- email: string(email) (required)
- password: string(password) (required)</t>
  </si>
  <si>
    <t>{
  "email": "user@example.com",
  "password": "StrongPass@123"
}</t>
  </si>
  <si>
    <t>200 OK
Schema: StandardSuccessResponse&lt;{ user, accessToken } + refreshToken HttpOnly cookie&gt;</t>
  </si>
  <si>
    <t>401 Unauthorized — thông tin đăng nhập không đúng
403 Forbidden — tài khoản SUSPENDED/DISABLED
500 Internal Server Error — lỗi ngoài dự kiến.</t>
  </si>
  <si>
    <t>Handler: AuthController -&gt; AuthService -&gt; UsersRepository
DB tables: users, user_profiles
Guards/Middleware: ValidationPipe, Throttler
Packages: @nestjs/jwt, passport, bcrypt</t>
  </si>
  <si>
    <t>Notes: Cập nhật last_login_at; cookie Secure/SameSite theo môi trường.
Tests: Unit: verify password/status
E2E: login success/401/403</t>
  </si>
  <si>
    <t>AUT-003</t>
  </si>
  <si>
    <t>/api/v1/auth/refresh</t>
  </si>
  <si>
    <t>operationId: postAuthRefresh
Summary: Cấp access token mới từ refresh token</t>
  </si>
  <si>
    <t>CookieAuth
refreshToken (HttpOnly)</t>
  </si>
  <si>
    <t>- refreshToken | in: cookie | required | string</t>
  </si>
  <si>
    <t>200 OK
Schema: StandardSuccessResponse&lt;{ accessToken } + rotated refreshToken cookie&gt;</t>
  </si>
  <si>
    <t>{
  "success": true,
  "data": {
    "accessToken": "&lt;jwt-access-token&gt;"
  }
}</t>
  </si>
  <si>
    <t>401 Unauthorized — thiếu token
403 Forbidden — token hết hạn/không hợp lệ
500 Internal Server Error — lỗi ngoài dự kiến.</t>
  </si>
  <si>
    <t>Handler: AuthController -&gt; AuthService -&gt; UsersRepository
DB tables: users
Guards/Middleware: RefreshJwtGuard, Throttler
Packages: @nestjs/jwt, passport-jwt</t>
  </si>
  <si>
    <t>Notes: Không nhận token qua body; xoay refresh token nếu áp dụng.
Tests: Unit: expired/invalid token
E2E: refresh success/403</t>
  </si>
  <si>
    <t>AUT-004</t>
  </si>
  <si>
    <t>/api/v1/auth/logout</t>
  </si>
  <si>
    <t>operationId: postAuthLogout
Summary: Đăng xuất và xóa refresh-token cookie</t>
  </si>
  <si>
    <t>BearerAuth (JWT)
Role: USER/ADMIN</t>
  </si>
  <si>
    <t>200 OK
Schema: StandardSuccessResponse&lt;{ message }&gt;</t>
  </si>
  <si>
    <t>{
  "success": true,
  "data": {
    "message": "Thao tác thành công."
  }
}</t>
  </si>
  <si>
    <t>401 Unauthorized — access token không hợp lệ
500 Internal Server Error — lỗi ngoài dự kiến.</t>
  </si>
  <si>
    <t>Handler: AuthController -&gt; AuthService
DB tables: Không ghi DB
Guards/Middleware: JwtAuthGuard
Packages: @nestjs/jwt, cookie-parser</t>
  </si>
  <si>
    <t>Notes: Idempotent; luôn clear cookie.
Tests: E2E: cookie bị xóa; gọi lại vẫn an toàn</t>
  </si>
  <si>
    <t>AUT-005</t>
  </si>
  <si>
    <t>/api/v1/auth/change-password</t>
  </si>
  <si>
    <t>operationId: patchAuthChangePassword
Summary: Đổi mật khẩu của tài khoản đang đăng nhập</t>
  </si>
  <si>
    <t>Content-Type: application/json
Schema: PatchAuthChangePasswordDto
- currentPassword: string(password) (required)
- newPassword: string(password) (required)</t>
  </si>
  <si>
    <t>{
  "currentPassword": "OldPass@123",
  "newPassword": "NewPass@123"
}</t>
  </si>
  <si>
    <t>400 Bad Request — password yếu
401 Unauthorized — currentPassword sai
500 Internal Server Error — lỗi ngoài dự kiến.</t>
  </si>
  <si>
    <t>Handler: AuthController -&gt; AuthService -&gt; UsersRepository
DB tables: users
Guards/Middleware: JwtAuthGuard, ValidationPipe
Packages: bcrypt, class-validator</t>
  </si>
  <si>
    <t>Notes: Băm mật khẩu mới; vô hiệu hóa refresh cookie hiện tại.
Tests: Unit: old password mismatch; hash new password
E2E: login bằng mật khẩu mới</t>
  </si>
  <si>
    <t>USR-001</t>
  </si>
  <si>
    <t>/api/v1/users/me</t>
  </si>
  <si>
    <t>operationId: getUsersMe
Summary: Lấy thông tin tài khoản và hồ sơ học tập hiện tại</t>
  </si>
  <si>
    <t>200 OK
Schema: StandardSuccessResponse&lt;{ id, email, role, status, profile }&gt;</t>
  </si>
  <si>
    <t>{
  "success": true,
  "data": {
    "profile": {
      "displayName": "Nguyen Van A",
      "currentCefrLevel": "B1"
    }
  }
}</t>
  </si>
  <si>
    <t>401 Unauthorized — chưa đăng nhập
500 Internal Server Error — lỗi ngoài dự kiến.</t>
  </si>
  <si>
    <t>Handler: UsersController -&gt; UsersService -&gt; UsersRepository
DB tables: users, user_profiles
Guards/Middleware: JwtAuthGuard
Packages: @prisma/client</t>
  </si>
  <si>
    <t>Notes: Không trả password_hash.
Tests: E2E: trả đúng user từ token; không lộ password_hash</t>
  </si>
  <si>
    <t>USR-002</t>
  </si>
  <si>
    <t>operationId: patchUsersMe
Summary: Cập nhật hồ sơ cá nhân và cấu hình học tập</t>
  </si>
  <si>
    <t>Content-Type: application/json
Schema: PatchUsersMeDto
- displayName: string (optional)
- avatarUrl: string(uri) (optional)
- currentCefrLevel: string enum[A1, A2, B1, B2, C1, C2] (optional)
- learningGoal: string (optional)
- preferredLanguage: string (optional)</t>
  </si>
  <si>
    <t>{
  "displayName": "Nguyen Van A",
  "avatarUrl": "https://example.com/avatar.png",
  "currentCefrLevel": "B1",
  "learningGoal": "10 từ/ngày",
  "preferredLanguage": "vi"
}</t>
  </si>
  <si>
    <t>200 OK
Schema: StandardSuccessResponse&lt;{ user, profile }&gt;</t>
  </si>
  <si>
    <t>{
  "success": true,
  "data": {
    "user": {
      "id": "550e8400-e29b-41d4-a716-446655440000",
      "email": "user@example.com",
      "role": "USER",
      "status": "ACTIVE"
    },
    "profile": {
      "displayName": "Nguyen Van A",
      "currentCefrLevel": "B1"
    }
  }
}</t>
  </si>
  <si>
    <t>400 Bad Request — field không hợp lệ
500 Internal Server Error — lỗi ngoài dự kiến.</t>
  </si>
  <si>
    <t>Handler: UsersController -&gt; UsersService -&gt; UsersRepository
DB tables: user_profiles
Guards/Middleware: JwtAuthGuard, ValidationPipe
Packages: class-validator, @prisma/client</t>
  </si>
  <si>
    <t>Notes: Chỉ cập nhật user_profiles; email/role/status không sửa ở API này.
Tests: Unit: partial update
E2E: chỉ cập nhật chính chủ</t>
  </si>
  <si>
    <t>USR-003</t>
  </si>
  <si>
    <t>/api/v1/admin/users</t>
  </si>
  <si>
    <t>operationId: getAdminUsers
Summary: Admin xem danh sách người dùng có phân trang và bộ lọc</t>
  </si>
  <si>
    <t>BearerAuth (JWT)
Role: ADMIN</t>
  </si>
  <si>
    <t>- page | in: query | required | integer
- limit | in: query | required | integer
- q | in: query | optional | string
- role | in: query | optional | string enum[USER, ADMIN]
- status | in: query | optional | string enum
- sort | in: query | optional | string enum</t>
  </si>
  <si>
    <t>200 OK
Schema: StandardSuccessResponse&lt;{ items, meta }&gt;</t>
  </si>
  <si>
    <t>{
  "success": true,
  "data": {
    "items": []
  },
  "meta": {
    "page": 1,
    "limit": 20,
    "total": 0,
    "totalPages": 0
  }
}</t>
  </si>
  <si>
    <t>400 Bad Request — query sai
403 Forbidden — không phải ADMIN
500 Internal Server Error — lỗi ngoài dự kiến.</t>
  </si>
  <si>
    <t>Handler: AdminUsersController -&gt; UsersService -&gt; UsersRepository
DB tables: users, user_profiles
Guards/Middleware: JwtAuthGuard, RolesGuard(ADMIN)
Packages: @prisma/client</t>
  </si>
  <si>
    <t>Notes: Tìm theo email/displayName; không trả password_hash.
Tests: Unit: filter/pagination
E2E: USER bị 403</t>
  </si>
  <si>
    <t>USR-004</t>
  </si>
  <si>
    <t>/api/v1/admin/users/:userId</t>
  </si>
  <si>
    <t>operationId: getAdminUsersByUserId
Summary: Admin xem chi tiết một người dùng</t>
  </si>
  <si>
    <t>- userId | in: path | required | string(uuid)</t>
  </si>
  <si>
    <t>200 OK
Schema: StandardSuccessResponse&lt;{ user, profile, learningSummary }&gt;</t>
  </si>
  <si>
    <t>404 Not Found — user không tồn tại
500 Internal Server Error — lỗi ngoài dự kiến.</t>
  </si>
  <si>
    <t>Handler: AdminUsersController -&gt; UsersService -&gt; UsersRepository
DB tables: users, user_profiles, user_vocabularies, user_article_progress
Guards/Middleware: JwtAuthGuard, RolesGuard(ADMIN)
Packages: @prisma/client</t>
  </si>
  <si>
    <t>Notes: learningSummary chỉ là aggregate nhẹ; thống kê sâu nằm ở Analytics.
Tests: E2E: 200/404/403</t>
  </si>
  <si>
    <t>USR-005</t>
  </si>
  <si>
    <t>/api/v1/admin/users/:userId/status</t>
  </si>
  <si>
    <t>operationId: patchAdminUsersByUserIdStatus
Summary: Khóa, mở khóa hoặc vô hiệu hóa tài khoản</t>
  </si>
  <si>
    <t>Content-Type: application/json
Schema: PatchAdminUsersByUserIdStatusDto
- status: string enum[ACTIVE, SUSPENDED, DISABLED] (required)</t>
  </si>
  <si>
    <t>{
  "status": "ACTIVE"
}</t>
  </si>
  <si>
    <t>200 OK
Schema: StandardSuccessResponse&lt;{ id, status, updatedAt }&gt;</t>
  </si>
  <si>
    <t>{
  "success": true,
  "data": {
    "id": "550e8400-e29b-41d4-a716-446655440000",
    "status": "ACTIVE",
    "updatedAt": "2026-07-22T10:00:00Z"
  }
}</t>
  </si>
  <si>
    <t>400 Bad Request — status sai
404 Not Found — user không tồn tại
409 Conflict — tự khóa tài khoản admin hiện tại
500 Internal Server Error — lỗi ngoài dự kiến.</t>
  </si>
  <si>
    <t>Handler: AdminUsersController -&gt; UsersService -&gt; UsersRepository
DB tables: users
Guards/Middleware: JwtAuthGuard, RolesGuard(ADMIN), ValidationPipe
Packages: @prisma/client</t>
  </si>
  <si>
    <t>Notes: Không xóa dữ liệu học tập; dùng trạng thái tài khoản.
Tests: Unit: prevent self-disable
E2E: status transition</t>
  </si>
  <si>
    <t>USR-006</t>
  </si>
  <si>
    <t>/api/v1/admin/users/:userId/role</t>
  </si>
  <si>
    <t>operationId: patchAdminUsersByUserIdRole
Summary: Thay đổi vai trò USER/ADMIN</t>
  </si>
  <si>
    <t>Content-Type: application/json
Schema: PatchAdminUsersByUserIdRoleDto
- role: string enum[USER, ADMIN] (required)</t>
  </si>
  <si>
    <t>{
  "role": "USER"
}</t>
  </si>
  <si>
    <t>200 OK
Schema: StandardSuccessResponse&lt;{ id, role, updatedAt }&gt;</t>
  </si>
  <si>
    <t>{
  "success": true,
  "data": {
    "id": "550e8400-e29b-41d4-a716-446655440000",
    "role": "USER",
    "updatedAt": "2026-07-22T10:00:00Z"
  }
}</t>
  </si>
  <si>
    <t>400 Bad Request — role sai
404 Not Found — user không tồn tại
409 Conflict — hạ quyền admin cuối cùng/tự hạ quyền
500 Internal Server Error — lỗi ngoài dự kiến.</t>
  </si>
  <si>
    <t>Notes: Bảo vệ ít nhất một ADMIN hoạt động.
Tests: Unit: last-admin guard
E2E: USER bị 403</t>
  </si>
  <si>
    <t>CAT-001</t>
  </si>
  <si>
    <t>/api/v1/categories</t>
  </si>
  <si>
    <t>operationId: getCategories
Summary: Lấy danh sách danh mục đang hoạt động</t>
  </si>
  <si>
    <t>- q | in: query | optional | string
- sort | in: query | optional | string enum</t>
  </si>
  <si>
    <t>200 OK
Schema: StandardSuccessResponse&lt;{ items }&gt;</t>
  </si>
  <si>
    <t>{
  "success": true,
  "data": {
    "items": []
  }
}</t>
  </si>
  <si>
    <t>400 Bad Request — query sai
500 Internal Server Error — lỗi ngoài dự kiến.</t>
  </si>
  <si>
    <t>Handler: CategoriesController -&gt; CategoriesService -&gt; CategoriesRepository
DB tables: categories
Guards/Middleware: Public
Packages: @prisma/client</t>
  </si>
  <si>
    <t>Notes: Chỉ trả is_active=true; sort theo display_order rồi name.
Tests: E2E: chỉ trả active và đúng thứ tự</t>
  </si>
  <si>
    <t>CAT-002</t>
  </si>
  <si>
    <t>/api/v1/categories/:slug</t>
  </si>
  <si>
    <t>operationId: getCategoriesBySlug
Summary: Lấy chi tiết danh mục theo slug</t>
  </si>
  <si>
    <t>- slug | in: path | required | string</t>
  </si>
  <si>
    <t>200 OK
Schema: StandardSuccessResponse&lt;{ category }&gt;</t>
  </si>
  <si>
    <t>{
  "success": true,
  "data": {
    "category": {
      "id": "550e8400-e29b-41d4-a716-446655440000",
      "name": "Technology",
      "slug": "technology"
    }
  }
}</t>
  </si>
  <si>
    <t>404 Not Found — category không tồn tại/không active
500 Internal Server Error — lỗi ngoài dự kiến.</t>
  </si>
  <si>
    <t>Notes: Dùng cho trang lọc bài báo theo category.
Tests: E2E: 200/404</t>
  </si>
  <si>
    <t>CAT-003</t>
  </si>
  <si>
    <t>/api/v1/admin/categories</t>
  </si>
  <si>
    <t>operationId: getAdminCategories
Summary: Admin xem toàn bộ danh mục</t>
  </si>
  <si>
    <t>- page | in: query | required | integer
- limit | in: query | required | integer
- q | in: query | optional | string
- isActive | in: query | optional | boolean</t>
  </si>
  <si>
    <t>403 Forbidden — không phải ADMIN
500 Internal Server Error — lỗi ngoài dự kiến.</t>
  </si>
  <si>
    <t>Handler: AdminCategoriesController -&gt; CategoriesService -&gt; CategoriesRepository
DB tables: categories
Guards/Middleware: JwtAuthGuard, RolesGuard(ADMIN)
Packages: @prisma/client</t>
  </si>
  <si>
    <t>Notes: Bao gồm cả danh mục inactive.
Tests: E2E: filter active/inactive</t>
  </si>
  <si>
    <t>CAT-004</t>
  </si>
  <si>
    <t>/api/v1/admin/categories/:categoryId</t>
  </si>
  <si>
    <t>operationId: getAdminCategoriesByCategoryId
Summary: Admin xem chi tiết danh mục</t>
  </si>
  <si>
    <t>- categoryId | in: path | required | string(uuid)</t>
  </si>
  <si>
    <t>200 OK
Schema: StandardSuccessResponse&lt;{ category, articleCount }&gt;</t>
  </si>
  <si>
    <t>{
  "success": true,
  "data": {
    "category": {
      "id": "550e8400-e29b-41d4-a716-446655440000",
      "name": "Technology",
      "slug": "technology"
    },
    "article": {
      "id": "550e8400-e29b-41d4-a716-446655440000",
      "title": "How Technology Changes Learning",
      "slug": "how-technology-changes-learning",
      "status": "PUBLISHED"
    }
  }
}</t>
  </si>
  <si>
    <t>404 Not Found — category không tồn tại
500 Internal Server Error — lỗi ngoài dự kiến.</t>
  </si>
  <si>
    <t>Handler: AdminCategoriesController -&gt; CategoriesService -&gt; CategoriesRepository
DB tables: categories, articles
Guards/Middleware: JwtAuthGuard, RolesGuard(ADMIN)
Packages: @prisma/client</t>
  </si>
  <si>
    <t>Notes: articleCount dùng để cảnh báo trước khi xóa.
Tests: E2E: 200/404</t>
  </si>
  <si>
    <t>CAT-005</t>
  </si>
  <si>
    <t>operationId: postAdminCategories
Summary: Tạo danh mục bài báo</t>
  </si>
  <si>
    <t>Content-Type: application/json
Schema: PostAdminCategoriesDto
- name: string (required)
- slug: string (required)
- description: string (optional)
- isActive: boolean (optional)
- displayOrder: integer (optional)</t>
  </si>
  <si>
    <t>{
  "name": "Technology",
  "slug": "technology",
  "description": "Mô tả ngắn",
  "isActive": true,
  "displayOrder": 1
}</t>
  </si>
  <si>
    <t>201 Created
Schema: StandardSuccessResponse&lt;{ category }&gt;</t>
  </si>
  <si>
    <t>400 Bad Request — dữ liệu sai
409 Conflict — slug trùng
500 Internal Server Error — lỗi ngoài dự kiến.</t>
  </si>
  <si>
    <t>Handler: AdminCategoriesController -&gt; CategoriesService -&gt; CategoriesRepository
DB tables: categories
Guards/Middleware: JwtAuthGuard, RolesGuard(ADMIN), ValidationPipe
Packages: class-validator, slugify, @prisma/client</t>
  </si>
  <si>
    <t>Notes: Ghi created_by_user_id và updated_by_user_id từ JWT.
Tests: Unit: slug uniqueness
E2E: create 201/409</t>
  </si>
  <si>
    <t>CAT-006</t>
  </si>
  <si>
    <t>operationId: patchAdminCategoriesByCategoryId
Summary: Cập nhật danh mục</t>
  </si>
  <si>
    <t>Content-Type: application/json
Schema: PatchAdminCategoriesByCategoryIdDto
- name: string (optional)
- slug: string (optional)
- description: string (optional)
- displayOrder: integer (optional)</t>
  </si>
  <si>
    <t>{
  "name": "Technology",
  "slug": "technology",
  "description": "Mô tả ngắn",
  "displayOrder": 1
}</t>
  </si>
  <si>
    <t>404 Not Found — không tồn tại
409 Conflict — slug trùng
500 Internal Server Error — lỗi ngoài dự kiến.</t>
  </si>
  <si>
    <t>Notes: Không đổi is_active tại API này; dùng endpoint status.
Tests: E2E: partial update/409</t>
  </si>
  <si>
    <t>CAT-007</t>
  </si>
  <si>
    <t>/api/v1/admin/categories/:categoryId/status</t>
  </si>
  <si>
    <t>operationId: patchAdminCategoriesByCategoryIdStatus
Summary: Bật hoặc tắt danh mục</t>
  </si>
  <si>
    <t>Content-Type: application/json
Schema: PatchAdminCategoriesByCategoryIdStatusDto
- isActive: boolean (required)</t>
  </si>
  <si>
    <t>{
  "isActive": true
}</t>
  </si>
  <si>
    <t>200 OK
Schema: StandardSuccessResponse&lt;{ id, isActive }&gt;</t>
  </si>
  <si>
    <t>{
  "success": true,
  "data": {
    "id": "550e8400-e29b-41d4-a716-446655440000",
    "isActive": true
  }
}</t>
  </si>
  <si>
    <t>404 Not Found — không tồn tại
409 Conflict — tắt danh mục đang có bài PUBLISHED nếu policy không cho phép
500 Internal Server Error — lỗi ngoài dự kiến.</t>
  </si>
  <si>
    <t>Handler: AdminCategoriesController -&gt; CategoriesService -&gt; CategoriesRepository
DB tables: categories, articles
Guards/Middleware: JwtAuthGuard, RolesGuard(ADMIN), ValidationPipe
Packages: @prisma/client</t>
  </si>
  <si>
    <t>Notes: Có thể vẫn giữ bài cũ nhưng category không xuất hiện trong filter.
Tests: Unit: business rule
E2E: toggle status</t>
  </si>
  <si>
    <t>CAT-008</t>
  </si>
  <si>
    <t>operationId: deleteAdminCategoriesByCategoryId
Summary: Xóa danh mục chưa được sử dụng</t>
  </si>
  <si>
    <t>204 No Content
Schema: NoContent</t>
  </si>
  <si>
    <t>No response body</t>
  </si>
  <si>
    <t>404 Not Found — không tồn tại
409 Conflict — đang được articles tham chiếu
500 Internal Server Error — lỗi ngoài dự kiến.</t>
  </si>
  <si>
    <t>Notes: Do FK RESTRICT; ưu tiên deactivate nếu đã được sử dụng.
Tests: E2E: delete unused/409 used</t>
  </si>
  <si>
    <t>ART-001</t>
  </si>
  <si>
    <t>/api/v1/articles</t>
  </si>
  <si>
    <t>operationId: getArticles
Summary: Lấy danh sách bài báo đã publish</t>
  </si>
  <si>
    <t>- page | in: query | required | integer
- limit | in: query | required | integer
- q | in: query | optional | string
- categorySlug | in: query | optional | string
- cefrLevel | in: query | optional | string enum[A1, A2, B1, B2, C1, C2]
- sort | in: query | required | string enum[newest, oldest]</t>
  </si>
  <si>
    <t>Handler: ArticlesController -&gt; ArticlesService -&gt; ArticlesRepository
DB tables: articles, categories
Guards/Middleware: Public
Packages: @prisma/client</t>
  </si>
  <si>
    <t>Notes: Không trả content_html trong danh sách; chỉ metadata/summary.
Tests: Unit: filters/pagination
E2E: chỉ PUBLISHED</t>
  </si>
  <si>
    <t>ART-002</t>
  </si>
  <si>
    <t>/api/v1/articles/:slug</t>
  </si>
  <si>
    <t>operationId: getArticlesBySlug
Summary: Lấy metadata chi tiết bài báo đã publish</t>
  </si>
  <si>
    <t>200 OK
Schema: StandardSuccessResponse&lt;{ article, category, quizCount }&gt;</t>
  </si>
  <si>
    <t>{
  "success": true,
  "data": {
    "category": {
      "id": "550e8400-e29b-41d4-a716-446655440000",
      "name": "Technology",
      "slug": "technology"
    },
    "article": {
      "id": "550e8400-e29b-41d4-a716-446655440000",
      "title": "How Technology Changes Learning",
      "slug": "how-technology-changes-learning",
      "status": "PUBLISHED"
    },
    "quiz": {
      "id": "550e8400-e29b-41d4-a716-446655440000",
      "title": "Vocabulary Review",
      "status": "PUBLISHED"
    }
  }
}</t>
  </si>
  <si>
    <t>404 Not Found — không tồn tại/chưa publish
500 Internal Server Error — lỗi ngoài dự kiến.</t>
  </si>
  <si>
    <t>Handler: ArticlesController -&gt; ArticlesService -&gt; ArticlesRepository
DB tables: articles, categories, quizzes
Guards/Middleware: Public
Packages: @prisma/client</t>
  </si>
  <si>
    <t>Notes: Trang giới thiệu trước khi vào reader; content_html lấy qua ReadingModule.
Tests: E2E: draft không truy cập được</t>
  </si>
  <si>
    <t>ART-003</t>
  </si>
  <si>
    <t>/api/v1/admin/articles</t>
  </si>
  <si>
    <t>operationId: getAdminArticles
Summary: Admin xem danh sách bài báo mọi trạng thái</t>
  </si>
  <si>
    <t>- page | in: query | required | integer
- limit | in: query | required | integer
- q | in: query | optional | string
- categoryId | in: query | optional | string(uuid)
- cefrLevel | in: query | optional | string enum[A1, A2, B1, B2, C1, C2]
- status | in: query | optional | string enum
- sort | in: query | optional | string enum</t>
  </si>
  <si>
    <t>Handler: AdminArticlesController -&gt; ArticlesService -&gt; ArticlesRepository
DB tables: articles, categories
Guards/Middleware: JwtAuthGuard, RolesGuard(ADMIN)
Packages: @prisma/client</t>
  </si>
  <si>
    <t>Notes: Bao gồm DRAFT/PUBLISHED/ARCHIVED.
Tests: E2E: filters và pagination</t>
  </si>
  <si>
    <t>ART-004</t>
  </si>
  <si>
    <t>/api/v1/admin/articles/:articleId</t>
  </si>
  <si>
    <t>operationId: getAdminArticlesByArticleId
Summary: Admin xem chi tiết bài báo và trạng thái nội dung</t>
  </si>
  <si>
    <t>- articleId | in: path | required | string(uuid)</t>
  </si>
  <si>
    <t>200 OK
Schema: StandardSuccessResponse&lt;{ article, sentenceCount, termCount, quizCount }&gt;</t>
  </si>
  <si>
    <t>{
  "success": true,
  "data": {
    "article": {
      "id": "550e8400-e29b-41d4-a716-446655440000",
      "title": "How Technology Changes Learning",
      "slug": "how-technology-changes-learning",
      "status": "PUBLISHED"
    },
    "sentence": {
      "id": "550e8400-e29b-41d4-a716-446655440000",
      "sentenceOrder": 1
    },
    "quiz": {
      "id": "550e8400-e29b-41d4-a716-446655440000",
      "title": "Vocabulary Review",
      "status": "PUBLISHED"
    }
  }
}</t>
  </si>
  <si>
    <t>404 Not Found — article không tồn tại
500 Internal Server Error — lỗi ngoài dự kiến.</t>
  </si>
  <si>
    <t>Handler: AdminArticlesController -&gt; ArticlesService -&gt; ArticlesRepository
DB tables: articles, article_sentences, article_sentence_terms, quizzes
Guards/Middleware: JwtAuthGuard, RolesGuard(ADMIN)
Packages: @prisma/client</t>
  </si>
  <si>
    <t>Notes: Không tải toàn bộ sentence/term nếu chưa được yêu cầu.
Tests: E2E: 200/404</t>
  </si>
  <si>
    <t>ART-005</t>
  </si>
  <si>
    <t>operationId: postAdminArticles
Summary: Tạo bài báo dạng DRAFT</t>
  </si>
  <si>
    <t>Content-Type: application/json
Schema: PostAdminArticlesDto
- categoryId: string(uuid) (required)
- title: string (required)
- slug: string (required)
- summary: string (required)
- contentHtml: string(html) (required)
- cefrLevel: string enum[A1, A2, B1, B2, C1, C2] (required)
- sourceName: string (optional)
- sourceUrl: string(uri) (optional)
- authorName: string (optional)
- thumbnailUrl: string(uri) (optional)</t>
  </si>
  <si>
    <t>{
  "categoryId": "550e8400-e29b-41d4-a716-446655440000",
  "title": "How Technology Changes Learning",
  "slug": "technology",
  "summary": "Tóm tắt bài báo.",
  "contentHtml": "&lt;p&gt;Technology is changing how people learn.&lt;/p&gt;",
  "cefrLevel": "B1"
}</t>
  </si>
  <si>
    <t>201 Created
Schema: StandardSuccessResponse&lt;{ article }&gt;</t>
  </si>
  <si>
    <t>{
  "success": true,
  "data": {
    "article": {
      "id": "550e8400-e29b-41d4-a716-446655440000",
      "title": "How Technology Changes Learning",
      "slug": "how-technology-changes-learning",
      "status": "PUBLISHED"
    }
  }
}</t>
  </si>
  <si>
    <t>400 Bad Request — HTML/field sai
404 Not Found — category không tồn tại
409 Conflict — slug trùng
500 Internal Server Error — lỗi ngoài dự kiến.</t>
  </si>
  <si>
    <t>Handler: AdminArticlesController -&gt; ArticlesService + ArticleContentService -&gt; ArticlesRepository
DB tables: articles, categories
Guards/Middleware: JwtAuthGuard, RolesGuard(ADMIN), ValidationPipe
Packages: sanitize-html, slugify, class-validator, @prisma/client</t>
  </si>
  <si>
    <t>Notes: Sanitize HTML trước khi lưu; content_version=1; chưa tự publish.
Tests: Unit: sanitize/slug/category
E2E: create draft 201</t>
  </si>
  <si>
    <t>ART-006</t>
  </si>
  <si>
    <t>operationId: patchAdminArticlesByArticleId
Summary: Cập nhật metadata hoặc content HTML</t>
  </si>
  <si>
    <t>Content-Type: application/json
Schema: PatchAdminArticlesByArticleIdDto
- See referenced DTO fields: partial schema (optional)</t>
  </si>
  <si>
    <t>{
  "...": "Các field của DTO gốc, tất cả optional"
}</t>
  </si>
  <si>
    <t>200 OK
Schema: StandardSuccessResponse&lt;{ article, contentChanged }&gt;</t>
  </si>
  <si>
    <t>400 Bad Request — field/HTML sai
404 Not Found — không tồn tại
409 Conflict — slug trùng hoặc sửa article archived
500 Internal Server Error — lỗi ngoài dự kiến.</t>
  </si>
  <si>
    <t>Handler: AdminArticlesController -&gt; ArticlesService + ArticleContentService -&gt; ArticlesRepository
DB tables: articles
Guards/Middleware: JwtAuthGuard, RolesGuard(ADMIN), ValidationPipe
Packages: sanitize-html, slugify, @prisma/client</t>
  </si>
  <si>
    <t>Notes: Nếu contentHtml đổi: tăng content_version; yêu cầu parse lại trước publish.
Tests: Unit: content version increment
E2E: metadata-only vs content update</t>
  </si>
  <si>
    <t>ART-007</t>
  </si>
  <si>
    <t>operationId: deleteAdminArticlesByArticleId
Summary: Xóa bài DRAFT chưa phát sinh dữ liệu học</t>
  </si>
  <si>
    <t>404 Not Found — không tồn tại
409 Conflict — article đã publish/có progress/vocabulary/review
500 Internal Server Error — lỗi ngoài dự kiến.</t>
  </si>
  <si>
    <t>Handler: AdminArticlesController -&gt; ArticlesService -&gt; ArticlesRepository
DB tables: articles, user_article_progress, article_sentences, quizzes
Guards/Middleware: JwtAuthGuard, RolesGuard(ADMIN)
Packages: @prisma/client</t>
  </si>
  <si>
    <t>Notes: Bài đã dùng thực tế phải archive, không hard delete.
Tests: E2E: delete draft/409 used</t>
  </si>
  <si>
    <t>ART-008</t>
  </si>
  <si>
    <t>/api/v1/admin/articles/:articleId/parse-content</t>
  </si>
  <si>
    <t>operationId: postAdminArticlesByArticleIdParseContent
Summary: Parse content_html thành sentence và gắn data-sentence-id</t>
  </si>
  <si>
    <t>Content-Type: application/json
Schema: PostAdminArticlesByArticleIdParseContentDto
- force: boolean (optional)</t>
  </si>
  <si>
    <t>{
  "force": false
}</t>
  </si>
  <si>
    <t>200 OK
Schema: StandardSuccessResponse&lt;{ contentVersion, sentenceCount, contentHtml }&gt;</t>
  </si>
  <si>
    <t>{
  "success": true,
  "data": {
    "contentHtml": "&lt;p&gt;Technology is changing how people learn.&lt;/p&gt;",
    "sentence": {
      "id": "550e8400-e29b-41d4-a716-446655440000",
      "sentenceOrder": 1
    }
  }
}</t>
  </si>
  <si>
    <t>404 Not Found — article không tồn tại
409 Conflict — đã parse version hiện tại
422 Unprocessable Entity — HTML không parse được
500 Internal Server Error — lỗi ngoài dự kiến.</t>
  </si>
  <si>
    <t>Handler: AdminArticleSentencesController -&gt; ArticleContentService + ArticleSentencesService -&gt; ArticlesRepository
DB tables: articles, article_sentences
Guards/Middleware: JwtAuthGuard, RolesGuard(ADMIN)
Packages: sanitize-html, cheerio, Intl.Segmenter, @prisma/client</t>
  </si>
  <si>
    <t>Notes: Transaction: deactivate sentence version cũ, tạo version mới, cập nhật HTML markers.
Tests: Unit: split/marker/idempotency
E2E: parse thành công và rollback khi lỗi</t>
  </si>
  <si>
    <t>ART-009</t>
  </si>
  <si>
    <t>/api/v1/admin/articles/:articleId/sentences</t>
  </si>
  <si>
    <t>operationId: getAdminArticlesByArticleIdSentences
Summary: Lấy danh sách sentence của version hiện tại</t>
  </si>
  <si>
    <t>- articleId | in: path | required | string(uuid)
- page | in: query | required | integer
- limit | in: query | required | integer
- isActive | in: query | optional | boolean</t>
  </si>
  <si>
    <t>200 OK
Schema: StandardSuccessResponse&lt;{ items, meta, contentVersion }&gt;</t>
  </si>
  <si>
    <t>Handler: AdminArticleSentencesController -&gt; ArticleSentencesService -&gt; ArticlesRepository
DB tables: articles, article_sentences
Guards/Middleware: JwtAuthGuard, RolesGuard(ADMIN)
Packages: @prisma/client</t>
  </si>
  <si>
    <t>Notes: Sort theo sentence_order.
Tests: E2E: order/pagination/version</t>
  </si>
  <si>
    <t>ART-010</t>
  </si>
  <si>
    <t>/api/v1/admin/articles/:articleId/sentences/:sentenceId</t>
  </si>
  <si>
    <t>operationId: getAdminArticlesByArticleIdSentencesBySentenceId
Summary: Lấy chi tiết sentence và các term bên trong</t>
  </si>
  <si>
    <t>- articleId | in: path | required | string(uuid)
- sentenceId | in: path | required | string(uuid)</t>
  </si>
  <si>
    <t>200 OK
Schema: StandardSuccessResponse&lt;{ sentence, terms }&gt;</t>
  </si>
  <si>
    <t>{
  "success": true,
  "data": {
    "term": {
      "id": "550e8400-e29b-41d4-a716-446655440000",
      "value": "harmful",
      "cefrLevel": "B1",
      "contextualMeaningVi": "có hại"
    },
    "sentence": {
      "id": "550e8400-e29b-41d4-a716-446655440000",
      "sentenceOrder": 1
    }
  }
}</t>
  </si>
  <si>
    <t>404 Not Found — sentence không thuộc article
500 Internal Server Error — lỗi ngoài dự kiến.</t>
  </si>
  <si>
    <t>Handler: AdminArticleSentencesController -&gt; ArticleSentencesService -&gt; ArticlesRepository
DB tables: article_sentences, article_sentence_terms
Guards/Middleware: JwtAuthGuard, RolesGuard(ADMIN)
Packages: @prisma/client</t>
  </si>
  <si>
    <t>Notes: Dùng màn hình admin gắn metadata từ vựng.
Tests: E2E: ownership check</t>
  </si>
  <si>
    <t>ART-011</t>
  </si>
  <si>
    <t>operationId: patchAdminArticlesByArticleIdSentencesBySentenceId
Summary: Cập nhật bản dịch và giải thích câu</t>
  </si>
  <si>
    <t>Content-Type: application/json
Schema: PatchAdminArticlesByArticleIdSentencesBySentenceIdDto
- translationVi: string (optional)
- explanationVi: string (optional)
- referenceExplanation: string (optional)
- skill: string enum (optional)
- isActive: boolean (optional)</t>
  </si>
  <si>
    <t>{
  "translationVi": "Bản dịch tiếng Việt.",
  "explanationVi": "Giải thích câu.",
  "referenceExplanation": "Ghi chú tham khảo.",
  "skill": "VOCABULARY",
  "isActive": true
}</t>
  </si>
  <si>
    <t>200 OK
Schema: StandardSuccessResponse&lt;{ sentence }&gt;</t>
  </si>
  <si>
    <t>{
  "success": true,
  "data": {
    "sentence": {
      "id": "550e8400-e29b-41d4-a716-446655440000",
      "sentenceOrder": 1
    }
  }
}</t>
  </si>
  <si>
    <t>400 Bad Request — text rỗng
404 Not Found — sentence không thuộc article
500 Internal Server Error — lỗi ngoài dự kiến.</t>
  </si>
  <si>
    <t>Handler: AdminArticleSentencesController -&gt; ArticleSentencesService -&gt; ArticlesRepository
DB tables: article_sentences
Guards/Middleware: JwtAuthGuard, RolesGuard(ADMIN), ValidationPipe
Packages: class-validator, @prisma/client</t>
  </si>
  <si>
    <t>Notes: Không sửa sentence_text trực tiếp; thay đổi nội dung gốc qua articles.content_html rồi parse lại.
Tests: Unit: immutable sentenceText
E2E: partial update</t>
  </si>
  <si>
    <t>ART-012</t>
  </si>
  <si>
    <t>/api/v1/admin/articles/:articleId/sentences/:sentenceId/terms</t>
  </si>
  <si>
    <t>operationId: postAdminArticlesByArticleIdSentencesBySentenceIdTerms
Summary: Thêm từ/cụm từ theo ngữ cảnh cho một sentence</t>
  </si>
  <si>
    <t>Content-Type: application/json
Schema: PostAdminArticlesByArticleIdSentencesBySentenceIdTermsDto
- value: string (required)
- wordDisplay: string (required)
- lemma: string (required)
- normalizedLemma: string (required)
- unitType: string enum (required)
- partOfSpeech: string (required)
- ipa: string (optional)
- cefrLevel: string enum[A1, A2, B1, B2, C1, C2] (required)
- contextualMeaningVi: string (required)
- definitionEn: string (optional)
- contextualExplanation: string (optional)
- synonyms: array&lt;object&gt; (optional)
- antonyms: array&lt;object&gt; (optional)
- collocations: array&lt;object&gt; (optional)
- relatedTerms: array&lt;object&gt; (optional)
- vocabularyTopic: string (optional)
- examples: array&lt;object&gt; (optional)
- skill: string enum (optional)
- isLookupEnabled: boolean (optional)
- isActive: boolean (optional)</t>
  </si>
  <si>
    <t>{
  "value": "harmful",
  "wordDisplay": "harmful",
  "lemma": "harmful",
  "normalizedLemma": "harmful",
  "unitType": "WORD",
  "partOfSpeech": "adjective",
  "cefrLevel": "B1",
  "contextualMeaningVi": "có hại"
}</t>
  </si>
  <si>
    <t>201 Created
Schema: StandardSuccessResponse&lt;{ term, updatedContentHtml }&gt;</t>
  </si>
  <si>
    <t>{
  "success": true,
  "data": {
    "term": {
      "id": "550e8400-e29b-41d4-a716-446655440000",
      "value": "harmful",
      "cefrLevel": "B1",
      "contextualMeaningVi": "có hại"
    }
  }
}</t>
  </si>
  <si>
    <t>400 Bad Request — metadata sai
404 Not Found — sentence không thuộc article
409 Conflict — term marker trùng
422 Unprocessable Entity — value không tồn tại trong sentence
500 Internal Server Error — lỗi ngoài dự kiến.</t>
  </si>
  <si>
    <t>Handler: AdminArticleTermsController -&gt; ArticleTermsService + ArticleContentService -&gt; ArticlesRepository
DB tables: articles, article_sentences, article_sentence_terms
Guards/Middleware: JwtAuthGuard, RolesGuard(ADMIN), ValidationPipe
Packages: cheerio, class-validator, @prisma/client</t>
  </si>
  <si>
    <t>Notes: Tạo term, gắn data-term-id vào HTML; không lưu character offsets.
Tests: Unit: word/phrase match, marker generation
E2E: transaction rollback</t>
  </si>
  <si>
    <t>ART-013</t>
  </si>
  <si>
    <t>/api/v1/admin/articles/:articleId/terms</t>
  </si>
  <si>
    <t>operationId: getAdminArticlesByArticleIdTerms
Summary: Admin lấy danh sách term trong bài</t>
  </si>
  <si>
    <t>- articleId | in: path | required | string(uuid)
- page | in: query | required | integer
- limit | in: query | required | integer
- sentenceId | in: query | optional | string(uuid)
- cefrLevel | in: query | optional | string enum[A1, A2, B1, B2, C1, C2]
- unitType | in: query | optional | string enum
- isActive | in: query | optional | boolean
- q | in: query | optional | string</t>
  </si>
  <si>
    <t>Handler: AdminArticleTermsController -&gt; ArticleTermsService -&gt; ArticlesRepository
DB tables: article_sentences, article_sentence_terms
Guards/Middleware: JwtAuthGuard, RolesGuard(ADMIN)
Packages: @prisma/client</t>
  </si>
  <si>
    <t>Notes: Cho phép kiểm tra nhanh term thiếu definition/translation.
Tests: E2E: filter/pagination</t>
  </si>
  <si>
    <t>ART-014</t>
  </si>
  <si>
    <t>/api/v1/admin/articles/:articleId/terms/:termId</t>
  </si>
  <si>
    <t>operationId: getAdminArticlesByArticleIdTermsByTermId
Summary: Admin xem đầy đủ metadata của term</t>
  </si>
  <si>
    <t>- articleId | in: path | required | string(uuid)
- termId | in: path | required | string(uuid)</t>
  </si>
  <si>
    <t>200 OK
Schema: StandardSuccessResponse&lt;{ term, sentence }&gt;</t>
  </si>
  <si>
    <t>404 Not Found — term không thuộc article
500 Internal Server Error — lỗi ngoài dự kiến.</t>
  </si>
  <si>
    <t>Handler: AdminArticleTermsController -&gt; ArticleTermsService -&gt; ArticlesRepository
DB tables: article_sentence_terms, article_sentences
Guards/Middleware: JwtAuthGuard, RolesGuard(ADMIN)
Packages: @prisma/client</t>
  </si>
  <si>
    <t>Notes: Trả cả sentence context.
Tests: E2E: ownership check</t>
  </si>
  <si>
    <t>ART-015</t>
  </si>
  <si>
    <t>operationId: patchAdminArticlesByArticleIdTermsByTermId
Summary: Cập nhật metadata và trạng thái lookup của term</t>
  </si>
  <si>
    <t>Content-Type: application/json
Schema: PatchAdminArticlesByArticleIdTermsByTermIdDto
- value: string (optional)
- wordDisplay: string (optional)
- lemma: string (optional)
- normalizedLemma: string (optional)
- unitType: string enum (optional)
- partOfSpeech: string (optional)
- ipa: string (optional)
- cefrLevel: string enum[A1, A2, B1, B2, C1, C2] (optional)
- contextualMeaningVi: string (optional)
- definitionEn: string (optional)
- contextualExplanation: string (optional)
- synonyms: array&lt;object&gt; (optional)
- antonyms: array&lt;object&gt; (optional)
- collocations: array&lt;object&gt; (optional)
- relatedTerms: array&lt;object&gt; (optional)
- vocabularyTopic: string (optional)
- examples: array&lt;object&gt; (optional)
- skill: string enum (optional)
- isLookupEnabled: boolean (optional)
- isActive: boolean (optional)</t>
  </si>
  <si>
    <t>{
  "value": "harmful",
  "wordDisplay": "harmful",
  "lemma": "harmful",
  "normalizedLemma": "harmful",
  "unitType": "WORD"
}</t>
  </si>
  <si>
    <t>200 OK
Schema: StandardSuccessResponse&lt;{ term, contentHtmlChanged }&gt;</t>
  </si>
  <si>
    <t>{
  "success": true,
  "data": {
    "contentHtml": "&lt;p&gt;Technology is changing how people learn.&lt;/p&gt;",
    "term": {
      "id": "550e8400-e29b-41d4-a716-446655440000",
      "value": "harmful",
      "cefrLevel": "B1",
      "contextualMeaningVi": "có hại"
    }
  }
}</t>
  </si>
  <si>
    <t>400 Bad Request — metadata sai
404 Not Found — term không thuộc article
422 Unprocessable Entity — đổi value không khớp sentence
500 Internal Server Error — lỗi ngoài dự kiến.</t>
  </si>
  <si>
    <t>Notes: Nếu thay value/marker: cập nhật content_html an toàn trong transaction.
Tests: Unit: update metadata/marker
E2E: rollback khi marker lỗi</t>
  </si>
  <si>
    <t>ART-016</t>
  </si>
  <si>
    <t>operationId: deleteAdminArticlesByArticleIdTermsByTermId
Summary: Xóa term khỏi sentence và gỡ marker HTML</t>
  </si>
  <si>
    <t>404 Not Found — term không thuộc article
409 Conflict — term đã được user lưu/được quiz tham chiếu
500 Internal Server Error — lỗi ngoài dự kiến.</t>
  </si>
  <si>
    <t>Handler: AdminArticleTermsController -&gt; ArticleTermsService + ArticleContentService -&gt; ArticlesRepository
DB tables: articles, article_sentence_terms, user_vocabularies, quiz_questions
Guards/Middleware: JwtAuthGuard, RolesGuard(ADMIN)
Packages: cheerio, @prisma/client</t>
  </si>
  <si>
    <t>Notes: Nếu đã được sử dụng, chuyển is_active/is_lookup_enabled=false thay vì hard delete.
Tests: E2E: delete unused/409 referenced</t>
  </si>
  <si>
    <t>ART-017</t>
  </si>
  <si>
    <t>/api/v1/admin/articles/:articleId/publish</t>
  </si>
  <si>
    <t>operationId: postAdminArticlesByArticleIdPublish
Summary: Publish bài báo sau khi validate nội dung</t>
  </si>
  <si>
    <t>200 OK
Schema: StandardSuccessResponse&lt;{ id, status, publishedAt }&gt;</t>
  </si>
  <si>
    <t>{
  "success": true,
  "data": {
    "id": "&lt;id&gt;",
    "status": "&lt;status&gt;",
    "publishedAt": "&lt;publishedAt&gt;"
  }
}</t>
  </si>
  <si>
    <t>404 Not Found — không tồn tại
409 Conflict — đã publish
422 Unprocessable Entity — chưa parse/thiếu category/summary/sentence/term bắt buộc
500 Internal Server Error — lỗi ngoài dự kiến.</t>
  </si>
  <si>
    <t>Handler: AdminArticlesController -&gt; ArticlePublicationService -&gt; ArticlesRepository
DB tables: articles, categories, article_sentences, article_sentence_terms
Guards/Middleware: JwtAuthGuard, RolesGuard(ADMIN)
Packages: @prisma/client</t>
  </si>
  <si>
    <t>Notes: ArticlePublicationService chạy checklist trước khi đổi trạng thái.
Tests: Unit: publication checklist
E2E: publish/422</t>
  </si>
  <si>
    <t>ART-018</t>
  </si>
  <si>
    <t>/api/v1/admin/articles/:articleId/archive</t>
  </si>
  <si>
    <t>operationId: postAdminArticlesByArticleIdArchive
Summary: Archive bài báo đang publish hoặc draft</t>
  </si>
  <si>
    <t>200 OK
Schema: StandardSuccessResponse&lt;{ id, status, archivedAt }&gt;</t>
  </si>
  <si>
    <t>{
  "success": true,
  "data": {
    "id": "&lt;id&gt;",
    "status": "&lt;status&gt;",
    "archivedAt": "&lt;archivedAt&gt;"
  }
}</t>
  </si>
  <si>
    <t>404 Not Found — không tồn tại
409 Conflict — đã archived
500 Internal Server Error — lỗi ngoài dự kiến.</t>
  </si>
  <si>
    <t>Handler: AdminArticlesController -&gt; ArticlePublicationService -&gt; ArticlesRepository
DB tables: articles
Guards/Middleware: JwtAuthGuard, RolesGuard(ADMIN)
Packages: @prisma/client</t>
  </si>
  <si>
    <t>Notes: Không xóa progress/vocabulary snapshot của user.
Tests: E2E: archived article biến mất khỏi public list</t>
  </si>
  <si>
    <t>ART-019</t>
  </si>
  <si>
    <t>/api/v1/admin/articles/:articleId/restore-draft</t>
  </si>
  <si>
    <t>operationId: postAdminArticlesByArticleIdRestoreDraft
Summary: Đưa bài ARCHIVED về DRAFT để chỉnh sửa</t>
  </si>
  <si>
    <t>200 OK
Schema: StandardSuccessResponse&lt;{ id, status }&gt;</t>
  </si>
  <si>
    <t>{
  "success": true,
  "data": {
    "id": "&lt;id&gt;",
    "status": "&lt;status&gt;"
  }
}</t>
  </si>
  <si>
    <t>404 Not Found — không tồn tại
409 Conflict — trạng thái không hợp lệ
500 Internal Server Error — lỗi ngoài dự kiến.</t>
  </si>
  <si>
    <t>Notes: Xóa archived_at; published_at=null theo constraint.
Tests: Unit: valid state transition
E2E: restore</t>
  </si>
  <si>
    <t>ART-020</t>
  </si>
  <si>
    <t>/api/v1/admin/articles/:articleId/preview</t>
  </si>
  <si>
    <t>operationId: getAdminArticlesByArticleIdPreview
Summary: Preview reader cho bài draft/published</t>
  </si>
  <si>
    <t>- articleId | in: path | required | string(uuid)
- cefrLevel | in: query | optional | string enum[A1, A2, B1, B2, C1, C2]</t>
  </si>
  <si>
    <t>200 OK
Schema: StandardSuccessResponse&lt;{ article, contentHtml, terms, validationWarnings }&gt;</t>
  </si>
  <si>
    <t>{
  "success": true,
  "data": {
    "article": {
      "id": "550e8400-e29b-41d4-a716-446655440000",
      "title": "How Technology Changes Learning",
      "slug": "how-technology-changes-learning",
      "status": "PUBLISHED"
    },
    "contentHtml": "&lt;p&gt;Technology is changing how people learn.&lt;/p&gt;",
    "term": {
      "id": "550e8400-e29b-41d4-a716-446655440000",
      "value": "harmful",
      "cefrLevel": "B1",
      "contextualMeaningVi": "có hại"
    }
  }
}</t>
  </si>
  <si>
    <t>404 Not Found — không tồn tại
500 Internal Server Error — lỗi ngoài dự kiến.</t>
  </si>
  <si>
    <t>Handler: AdminArticlesController -&gt; ArticleContentService + ArticlePublicationService -&gt; ArticlesRepository
DB tables: articles, article_sentences, article_sentence_terms
Guards/Middleware: JwtAuthGuard, RolesGuard(ADMIN)
Packages: @prisma/client</t>
  </si>
  <si>
    <t>Notes: Có thể giả lập highlight theo CEFR để admin kiểm tra trước publish.
Tests: E2E: preview draft và warning</t>
  </si>
  <si>
    <t>REA-001</t>
  </si>
  <si>
    <t>/api/v1/reading/articles/:slug</t>
  </si>
  <si>
    <t>operationId: getReadingArticlesBySlug
Summary: Tải reader payload đã cá nhân hóa theo CEFR user</t>
  </si>
  <si>
    <t>200 OK
Schema: StandardSuccessResponse&lt;{ article, contentHtml, highlightedTermIds, progress }&gt;</t>
  </si>
  <si>
    <t>{
  "success": true,
  "data": {
    "article": {
      "id": "550e8400-e29b-41d4-a716-446655440000",
      "title": "How Technology Changes Learning",
      "slug": "how-technology-changes-learning",
      "status": "PUBLISHED"
    },
    "contentHtml": "&lt;p&gt;Technology is changing how people learn.&lt;/p&gt;",
    "progress": {
      "articleId": "550e8400-e29b-41d4-a716-446655440000",
      "status": "IN_PROGRESS",
      "progressPercent": 60
    }
  }
}</t>
  </si>
  <si>
    <t>404 Not Found — article chưa publish
403 Forbidden — account disabled
500 Internal Server Error — lỗi ngoài dự kiến.</t>
  </si>
  <si>
    <t>Handler: ReadingController -&gt; ReadingService -&gt; ReadingRepository
DB tables: articles, user_profiles, article_sentence_terms, user_article_progress
Guards/Middleware: JwtAuthGuard
Packages: @prisma/client</t>
  </si>
  <si>
    <t>Notes: Highlight term có cefr_level &gt;= user.current_cefr_level và is_lookup_enabled=true.
Tests: Unit: CEFR comparison
E2E: reader payload + progress upsert</t>
  </si>
  <si>
    <t>REA-002</t>
  </si>
  <si>
    <t>/api/v1/reading/articles/:articleId/terms/:termId</t>
  </si>
  <si>
    <t>operationId: getReadingArticlesByArticleIdTermsByTermId
Summary: Tra cứu nghĩa từ theo ngữ cảnh đã được admin nhập</t>
  </si>
  <si>
    <t>200 OK
Schema: StandardSuccessResponse&lt;{ term, parentSentence, saveState }&gt;</t>
  </si>
  <si>
    <t>404 Not Found — term/article không tồn tại
403 Forbidden — lookup disabled
500 Internal Server Error — lỗi ngoài dự kiến.</t>
  </si>
  <si>
    <t>Handler: ReadingController -&gt; ReadingService -&gt; ReadingRepository
DB tables: articles, article_sentences, article_sentence_terms, user_vocabularies
Guards/Middleware: JwtAuthGuard
Packages: @prisma/client</t>
  </si>
  <si>
    <t>Notes: Không gọi AI; trả cache article_sentence_terms và article_sentences.
Tests: Unit: ownership/active check
E2E: popup response</t>
  </si>
  <si>
    <t>REA-003</t>
  </si>
  <si>
    <t>/api/v1/reading/history</t>
  </si>
  <si>
    <t>operationId: getReadingHistory
Summary: Lấy lịch sử đọc của user</t>
  </si>
  <si>
    <t>- page | in: query | required | integer
- limit | in: query | required | integer
- status | in: query | optional | string enum
- sort | in: query | optional | string enum</t>
  </si>
  <si>
    <t>Handler: ReadingController -&gt; ReadingService -&gt; ReadingRepository
DB tables: user_article_progress, articles
Guards/Middleware: JwtAuthGuard
Packages: @prisma/client</t>
  </si>
  <si>
    <t>Notes: Join metadata bài báo; chỉ dữ liệu chính chủ.
Tests: E2E: pagination và ownership</t>
  </si>
  <si>
    <t>REA-004</t>
  </si>
  <si>
    <t>/api/v1/reading/progress/:articleId</t>
  </si>
  <si>
    <t>operationId: getReadingProgressByArticleId
Summary: Lấy tiến độ đọc một bài</t>
  </si>
  <si>
    <t>200 OK
Schema: StandardSuccessResponse&lt;{ progress }&gt;</t>
  </si>
  <si>
    <t>{
  "success": true,
  "data": {
    "progress": {
      "articleId": "550e8400-e29b-41d4-a716-446655440000",
      "status": "IN_PROGRESS",
      "progressPercent": 60
    }
  }
}</t>
  </si>
  <si>
    <t>Notes: Nếu chưa có record trả progress mặc định 0/READING.
Tests: E2E: default vs existing</t>
  </si>
  <si>
    <t>REA-005</t>
  </si>
  <si>
    <t>operationId: putReadingProgressByArticleId
Summary: Tạo hoặc cập nhật tiến độ đọc</t>
  </si>
  <si>
    <t>Content-Type: application/json
Schema: PutReadingProgressByArticleIdDto
- progressPercent: number (optional)
- lastBlockKey: string (optional)</t>
  </si>
  <si>
    <t>{
  "progressPercent": 60,
  "lastBlockKey": "paragraph-3"
}</t>
  </si>
  <si>
    <t>400 Bad Request — percent ngoài 0-100
404 Not Found — article không tồn tại
500 Internal Server Error — lỗi ngoài dự kiến.</t>
  </si>
  <si>
    <t>Handler: ReadingController -&gt; ReadingService -&gt; ReadingRepository
DB tables: user_article_progress, articles
Guards/Middleware: JwtAuthGuard, ValidationPipe
Packages: class-validator, @prisma/client</t>
  </si>
  <si>
    <t>Notes: Upsert theo unique(user_id, article_id); cập nhật last_read_at.
Tests: Unit: upsert/bounds
E2E: create/update</t>
  </si>
  <si>
    <t>REA-006</t>
  </si>
  <si>
    <t>/api/v1/reading/progress/:articleId/complete</t>
  </si>
  <si>
    <t>operationId: postReadingProgressByArticleIdComplete
Summary: Đánh dấu hoàn thành bài đọc</t>
  </si>
  <si>
    <t>200 OK
Schema: StandardSuccessResponse&lt;{ progress: { status, completedAt, progressPercent } }&gt;</t>
  </si>
  <si>
    <t>Notes: Set COMPLETED, completed_at=now, progress=100.
Tests: E2E: constraint status/timestamp</t>
  </si>
  <si>
    <t>REA-007</t>
  </si>
  <si>
    <t>operationId: deleteReadingProgressByArticleId
Summary: Đặt lại tiến độ đọc của user</t>
  </si>
  <si>
    <t>404 Not Found — progress không tồn tại
500 Internal Server Error — lỗi ngoài dự kiến.</t>
  </si>
  <si>
    <t>Handler: ReadingController -&gt; ReadingService -&gt; ReadingRepository
DB tables: user_article_progress
Guards/Middleware: JwtAuthGuard
Packages: @prisma/client</t>
  </si>
  <si>
    <t>Notes: Không ảnh hưởng từ đã lưu hoặc quiz history.
Tests: E2E: ownership/reset</t>
  </si>
  <si>
    <t>VOC-001</t>
  </si>
  <si>
    <t>/api/v1/vocabularies</t>
  </si>
  <si>
    <t>operationId: getVocabularies
Summary: Lấy danh sách từ vựng cá nhân</t>
  </si>
  <si>
    <t>- page | in: query | required | integer
- limit | in: query | required | integer
- q | in: query | optional | string
- learningStatus | in: query | optional | string enum
- cefrLevel | in: query | optional | string enum[A1, A2, B1, B2, C1, C2]
- collectionId | in: query | optional | string(uuid)
- dueOnly | in: query | optional | string
- sort | in: query | optional | string enum</t>
  </si>
  <si>
    <t>Handler: VocabulariesController -&gt; VocabulariesService -&gt; VocabulariesRepository
DB tables: user_vocabularies, vocabulary_collection_items
Guards/Middleware: JwtAuthGuard
Packages: @prisma/client</t>
  </si>
  <si>
    <t>Notes: Dữ liệu là snapshot trong user_vocabularies; không phụ thuộc term hiện tại.
Tests: Unit: filters
E2E: ownership/pagination</t>
  </si>
  <si>
    <t>VOC-002</t>
  </si>
  <si>
    <t>/api/v1/vocabularies/:userVocabularyId</t>
  </si>
  <si>
    <t>operationId: getVocabulariesByUserVocabularyId
Summary: Lấy chi tiết một từ đã lưu</t>
  </si>
  <si>
    <t>- userVocabularyId | in: path | required | string(uuid)</t>
  </si>
  <si>
    <t>200 OK
Schema: StandardSuccessResponse&lt;{ vocabulary, collections, sourceArticle }&gt;</t>
  </si>
  <si>
    <t>{
  "success": true,
  "data": {
    "collection": {
      "id": "550e8400-e29b-41d4-a716-446655440000",
      "name": "IELTS Vocabulary"
    },
    "vocabulary": {
      "id": "550e8400-e29b-41d4-a716-446655440000",
      "learningStatus": "LEARNING"
    }
  }
}</t>
  </si>
  <si>
    <t>404 Not Found — không tồn tại/không thuộc user
500 Internal Server Error — lỗi ngoài dự kiến.</t>
  </si>
  <si>
    <t>Handler: VocabulariesController -&gt; VocabulariesService -&gt; VocabulariesRepository
DB tables: user_vocabularies, vocabulary_collection_items, vocabulary_collections, article_sentence_terms, article_sentences, articles
Guards/Middleware: JwtAuthGuard
Packages: @prisma/client</t>
  </si>
  <si>
    <t>Notes: Trả snapshot + link nguồn; không lộ dữ liệu user khác.
Tests: E2E: ownership</t>
  </si>
  <si>
    <t>VOC-003</t>
  </si>
  <si>
    <t>operationId: postVocabularies
Summary: Lưu term từ bài báo vào danh sách học</t>
  </si>
  <si>
    <t>Content-Type: application/json
Schema: PostVocabulariesDto
- articleSentenceTermId: string(uuid) (required)
- personalNote: string (optional)
- collectionIds: string (optional)</t>
  </si>
  <si>
    <t>{
  "articleSentenceTermId": "550e8400-e29b-41d4-a716-446655440000",
  "personalNote": "Cần ôn lại",
  "collectionIds": "sample_collectionIds"
}</t>
  </si>
  <si>
    <t>201 Created
Schema: StandardSuccessResponse&lt;{ vocabulary, collections }&gt;</t>
  </si>
  <si>
    <t>404 Not Found — term không tồn tại/disabled
409 Conflict — đã lưu
422 Unprocessable Entity — collection không thuộc user
500 Internal Server Error — lỗi ngoài dự kiến.</t>
  </si>
  <si>
    <t>Handler: VocabulariesController -&gt; VocabulariesService -&gt; VocabulariesRepository
DB tables: article_sentence_terms, article_sentences, user_vocabularies, vocabulary_collections, vocabulary_collection_items
Guards/Middleware: JwtAuthGuard, ValidationPipe
Packages: @prisma/client</t>
  </si>
  <si>
    <t>Notes: Transaction tạo snapshot; learning_status=NEW; có thể gắn nhiều collection.
Tests: Unit: snapshot/duplicate/collection ownership
E2E: save 201</t>
  </si>
  <si>
    <t>VOC-004</t>
  </si>
  <si>
    <t>operationId: patchVocabulariesByUserVocabularyId
Summary: Cập nhật ghi chú cá nhân</t>
  </si>
  <si>
    <t>Content-Type: application/json
Schema: PatchVocabulariesByUserVocabularyIdDto
- personalNote: string (required)</t>
  </si>
  <si>
    <t>{
  "personalNote": "Cần ôn lại"
}</t>
  </si>
  <si>
    <t>200 OK
Schema: StandardSuccessResponse&lt;{ vocabulary }&gt;</t>
  </si>
  <si>
    <t>{
  "success": true,
  "data": {
    "vocabulary": {
      "id": "550e8400-e29b-41d4-a716-446655440000",
      "learningStatus": "LEARNING"
    }
  }
}</t>
  </si>
  <si>
    <t>404 Not Found — không thuộc user
500 Internal Server Error — lỗi ngoài dự kiến.</t>
  </si>
  <si>
    <t>Handler: VocabulariesController -&gt; VocabulariesService -&gt; VocabulariesRepository
DB tables: user_vocabularies
Guards/Middleware: JwtAuthGuard, ValidationPipe
Packages: @prisma/client</t>
  </si>
  <si>
    <t>Notes: Không cho sửa snapshot nghĩa/lemma từ phía user.
Tests: E2E: update note/ownership</t>
  </si>
  <si>
    <t>VOC-005</t>
  </si>
  <si>
    <t>/api/v1/vocabularies/:userVocabularyId/status</t>
  </si>
  <si>
    <t>operationId: patchVocabulariesByUserVocabularyIdStatus
Summary: Cập nhật trạng thái học của từ</t>
  </si>
  <si>
    <t>Content-Type: application/json
Schema: PatchVocabulariesByUserVocabularyIdStatusDto
- learningStatus: string enum[NEW, LEARNING, REVIEWING, MASTERED, IGNORED] (required)</t>
  </si>
  <si>
    <t>{
  "learningStatus": "NEW"
}</t>
  </si>
  <si>
    <t>200 OK
Schema: StandardSuccessResponse&lt;{ id, learningStatus, updatedAt }&gt;</t>
  </si>
  <si>
    <t>{
  "success": true,
  "data": {
    "id": "&lt;id&gt;",
    "learningStatus": "&lt;learningStatus&gt;",
    "updatedAt": "&lt;updatedAt&gt;"
  }
}</t>
  </si>
  <si>
    <t>400 Bad Request — status sai
404 Not Found — không thuộc user
500 Internal Server Error — lỗi ngoài dự kiến.</t>
  </si>
  <si>
    <t>Notes: Scheduler có thể tự cập nhật LEARNING/REVIEWING sau quiz.
Tests: Unit: transitions
E2E: status update</t>
  </si>
  <si>
    <t>VOC-006</t>
  </si>
  <si>
    <t>operationId: deleteVocabulariesByUserVocabularyId
Summary: Xóa từ khỏi danh sách học cá nhân</t>
  </si>
  <si>
    <t>Handler: VocabulariesController -&gt; VocabulariesService -&gt; VocabulariesRepository
DB tables: user_vocabularies, vocabulary_collection_items, review_answers
Guards/Middleware: JwtAuthGuard
Packages: @prisma/client</t>
  </si>
  <si>
    <t>Notes: Cascade xóa collection items; lịch sử review giữ theo FK policy hiện tại nên có thể 409 nếu đã tham chiếu.
Tests: E2E: delete unused/handling referenced history</t>
  </si>
  <si>
    <t>VOC-007</t>
  </si>
  <si>
    <t>/api/v1/vocabularies/due</t>
  </si>
  <si>
    <t>operationId: getVocabulariesDue
Summary: Lấy danh sách từ đến hạn ôn</t>
  </si>
  <si>
    <t>- limit | in: query | optional | integer
- collectionId | in: query | optional | string(uuid)</t>
  </si>
  <si>
    <t>200 OK
Schema: StandardSuccessResponse&lt;{ items, totalDue }&gt;</t>
  </si>
  <si>
    <t>{
  "success": true,
  "data": {
    "items": [],
    "totalDue": 0
  }
}</t>
  </si>
  <si>
    <t>Notes: Điều kiện next_review_at &lt;= now; NEW chưa có lịch có thể được ưu tiên.
Tests: Unit: due ordering
E2E: only current user</t>
  </si>
  <si>
    <t>COL-001</t>
  </si>
  <si>
    <t>/api/v1/collections</t>
  </si>
  <si>
    <t>operationId: getCollections
Summary: Lấy danh sách bộ sưu tập của user</t>
  </si>
  <si>
    <t>- page | in: query | optional | integer
- limit | in: query | optional | integer
- q | in: query | optional | string</t>
  </si>
  <si>
    <t>Handler: CollectionsController -&gt; CollectionsService -&gt; CollectionsRepository
DB tables: vocabulary_collections, vocabulary_collection_items
Guards/Middleware: JwtAuthGuard
Packages: @prisma/client</t>
  </si>
  <si>
    <t>Notes: Mỗi item kèm vocabularyCount.
Tests: E2E: ownership/count</t>
  </si>
  <si>
    <t>COL-002</t>
  </si>
  <si>
    <t>operationId: postCollections
Summary: Tạo bộ sưu tập từ vựng</t>
  </si>
  <si>
    <t>Content-Type: application/json
Schema: PostCollectionsDto
- name: string (required)
- description: string (optional)</t>
  </si>
  <si>
    <t>{
  "name": "Technology",
  "description": "Mô tả ngắn"
}</t>
  </si>
  <si>
    <t>201 Created
Schema: StandardSuccessResponse&lt;{ collection }&gt;</t>
  </si>
  <si>
    <t>{
  "success": true,
  "data": {
    "collection": {
      "id": "550e8400-e29b-41d4-a716-446655440000",
      "name": "IELTS Vocabulary"
    }
  }
}</t>
  </si>
  <si>
    <t>400 Bad Request — tên rỗng
409 Conflict — trùng tên trong cùng user
500 Internal Server Error — lỗi ngoài dự kiến.</t>
  </si>
  <si>
    <t>Handler: CollectionsController -&gt; CollectionsService -&gt; CollectionsRepository
DB tables: vocabulary_collections
Guards/Middleware: JwtAuthGuard, ValidationPipe
Packages: @prisma/client</t>
  </si>
  <si>
    <t>Notes: Unique(user_id, name).
Tests: E2E: create/409</t>
  </si>
  <si>
    <t>COL-003</t>
  </si>
  <si>
    <t>/api/v1/collections/:collectionId</t>
  </si>
  <si>
    <t>operationId: getCollectionsByCollectionId
Summary: Lấy chi tiết bộ sưu tập</t>
  </si>
  <si>
    <t>- collectionId | in: path | required | string(uuid)</t>
  </si>
  <si>
    <t>200 OK
Schema: StandardSuccessResponse&lt;{ collection, vocabularyCount }&gt;</t>
  </si>
  <si>
    <t>Notes: Không tải toàn bộ items; dùng endpoint items.
Tests: E2E: ownership</t>
  </si>
  <si>
    <t>COL-004</t>
  </si>
  <si>
    <t>operationId: patchCollectionsByCollectionId
Summary: Đổi tên hoặc mô tả bộ sưu tập</t>
  </si>
  <si>
    <t>Content-Type: application/json
Schema: PatchCollectionsByCollectionIdDto
- name: string (optional)
- description: string (optional)</t>
  </si>
  <si>
    <t>200 OK
Schema: StandardSuccessResponse&lt;{ collection }&gt;</t>
  </si>
  <si>
    <t>404 Not Found — không thuộc user
409 Conflict — tên trùng
500 Internal Server Error — lỗi ngoài dự kiến.</t>
  </si>
  <si>
    <t>Notes: Partial update.
Tests: E2E: update/409</t>
  </si>
  <si>
    <t>COL-005</t>
  </si>
  <si>
    <t>operationId: deleteCollectionsByCollectionId
Summary: Xóa bộ sưu tập nhưng không xóa từ đã lưu</t>
  </si>
  <si>
    <t>Notes: Cascade chỉ xóa vocabulary_collection_items.
Tests: E2E: vocabulary vẫn tồn tại</t>
  </si>
  <si>
    <t>COL-006</t>
  </si>
  <si>
    <t>/api/v1/collections/:collectionId/items</t>
  </si>
  <si>
    <t>operationId: getCollectionsByCollectionIdItems
Summary: Lấy từ vựng trong bộ sưu tập</t>
  </si>
  <si>
    <t>- collectionId | in: path | required | string(uuid)
- page | in: query | required | integer
- limit | in: query | required | integer
- q | in: query | optional | string
- learningStatus | in: query | optional | string enum
- sort | in: query | optional | string enum</t>
  </si>
  <si>
    <t>404 Not Found — collection không thuộc user
500 Internal Server Error — lỗi ngoài dự kiến.</t>
  </si>
  <si>
    <t>Handler: CollectionsController -&gt; CollectionsService -&gt; CollectionsRepository
DB tables: vocabulary_collections, vocabulary_collection_items, user_vocabularies
Guards/Middleware: JwtAuthGuard
Packages: @prisma/client</t>
  </si>
  <si>
    <t>Notes: Join user_vocabularies và sort theo added_at.
Tests: E2E: filter/pagination/ownership</t>
  </si>
  <si>
    <t>COL-007</t>
  </si>
  <si>
    <t>operationId: postCollectionsByCollectionIdItems
Summary: Thêm một hoặc nhiều từ vào collection</t>
  </si>
  <si>
    <t>Content-Type: application/json
Schema: PostCollectionsByCollectionIdItemsDto
- userVocabularyIds[]: array&lt;string(uuid)&gt; (required)</t>
  </si>
  <si>
    <t>{
  "userVocabularyIds[]": [
    "550e8400-e29b-41d4-a716-446655440000"
  ]
}</t>
  </si>
  <si>
    <t>201 Created
Schema: StandardSuccessResponse&lt;{ addedCount, skippedCount }&gt;</t>
  </si>
  <si>
    <t>{
  "success": true,
  "data": {
    "addedCount": 1,
    "skippedCount": 0
  }
}</t>
  </si>
  <si>
    <t>404 Not Found — collection không thuộc user
422 Unprocessable Entity — vocabulary không thuộc user
500 Internal Server Error — lỗi ngoài dự kiến.</t>
  </si>
  <si>
    <t>Handler: CollectionsController -&gt; CollectionsService -&gt; CollectionsRepository
DB tables: vocabulary_collections, user_vocabularies, vocabulary_collection_items
Guards/Middleware: JwtAuthGuard, ValidationPipe
Packages: @prisma/client</t>
  </si>
  <si>
    <t>Notes: Insert many, bỏ qua item đã tồn tại; validate ownership trước transaction.
Tests: Unit: ownership/deduplicate
E2E: bulk add</t>
  </si>
  <si>
    <t>COL-008</t>
  </si>
  <si>
    <t>/api/v1/collections/:collectionId/items/:userVocabularyId</t>
  </si>
  <si>
    <t>operationId: deleteCollectionsByCollectionIdItemsByUserVocabularyId
Summary: Xóa một từ khỏi collection</t>
  </si>
  <si>
    <t>- collectionId | in: path | required | string(uuid)
- userVocabularyId | in: path | required | string(uuid)</t>
  </si>
  <si>
    <t>404 Not Found — relation không tồn tại/không thuộc user
500 Internal Server Error — lỗi ngoài dự kiến.</t>
  </si>
  <si>
    <t>Handler: CollectionsController -&gt; CollectionsService -&gt; CollectionsRepository
DB tables: vocabulary_collection_items, vocabulary_collections
Guards/Middleware: JwtAuthGuard
Packages: @prisma/client</t>
  </si>
  <si>
    <t>Notes: Không xóa user_vocabularies.
Tests: E2E: remove relation only</t>
  </si>
  <si>
    <t>QUI-001</t>
  </si>
  <si>
    <t>/api/v1/quizzes</t>
  </si>
  <si>
    <t>operationId: getQuizzes
Summary: Lấy danh sách quiz đã publish</t>
  </si>
  <si>
    <t>- page | in: query | required | integer
- limit | in: query | required | integer
- articleId | in: query | optional | string(uuid)
- q | in: query | optional | string</t>
  </si>
  <si>
    <t>Handler: QuizzesController -&gt; QuizzesService -&gt; QuizzesRepository
DB tables: quizzes, quiz_questions
Guards/Middleware: JwtAuthGuard
Packages: @prisma/client</t>
  </si>
  <si>
    <t>Notes: Không trả đáp án đúng.
Tests: E2E: only PUBLISHED/no answers</t>
  </si>
  <si>
    <t>QUI-002</t>
  </si>
  <si>
    <t>/api/v1/quizzes/:quizId</t>
  </si>
  <si>
    <t>operationId: getQuizzesByQuizId
Summary: Lấy thông tin quiz trước khi bắt đầu</t>
  </si>
  <si>
    <t>- quizId | in: path | required | string(uuid)</t>
  </si>
  <si>
    <t>200 OK
Schema: StandardSuccessResponse&lt;{ quiz, questionCount, totalPoints, article }&gt;</t>
  </si>
  <si>
    <t>{
  "success": true,
  "data": {
    "article": {
      "id": "550e8400-e29b-41d4-a716-446655440000",
      "title": "How Technology Changes Learning",
      "slug": "how-technology-changes-learning",
      "status": "PUBLISHED"
    },
    "quiz": {
      "id": "550e8400-e29b-41d4-a716-446655440000",
      "title": "Vocabulary Review",
      "status": "PUBLISHED"
    },
    "question": {
      "id": "550e8400-e29b-41d4-a716-446655440000",
      "questionType": "MULTIPLE_CHOICE",
      "points": 1
    }
  }
}</t>
  </si>
  <si>
    <t>404 Not Found — quiz chưa publish/không tồn tại
500 Internal Server Error — lỗi ngoài dự kiến.</t>
  </si>
  <si>
    <t>Handler: QuizzesController -&gt; QuizzesService -&gt; QuizzesRepository
DB tables: quizzes, quiz_questions, articles
Guards/Middleware: JwtAuthGuard
Packages: @prisma/client</t>
  </si>
  <si>
    <t>Notes: Không trả question_options.is_correct.
Tests: Security test: không lộ đáp án
E2E: 200/404</t>
  </si>
  <si>
    <t>QUI-003</t>
  </si>
  <si>
    <t>/api/v1/admin/quizzes</t>
  </si>
  <si>
    <t>operationId: getAdminQuizzes
Summary: Admin xem danh sách quiz mọi trạng thái</t>
  </si>
  <si>
    <t>- page | in: query | required | integer
- limit | in: query | required | integer
- q | in: query | optional | string
- articleId | in: query | optional | string(uuid)
- status | in: query | optional | string enum</t>
  </si>
  <si>
    <t>Handler: AdminQuizzesController -&gt; QuizzesService -&gt; QuizzesRepository
DB tables: quizzes, quiz_questions
Guards/Middleware: JwtAuthGuard, RolesGuard(ADMIN)
Packages: @prisma/client</t>
  </si>
  <si>
    <t>Notes: Kèm questionCount.
Tests: E2E: filter/pagination</t>
  </si>
  <si>
    <t>QUI-004</t>
  </si>
  <si>
    <t>/api/v1/admin/quizzes/:quizId</t>
  </si>
  <si>
    <t>operationId: getAdminQuizzesByQuizId
Summary: Admin xem quiz đầy đủ gồm câu hỏi và options</t>
  </si>
  <si>
    <t>200 OK
Schema: StandardSuccessResponse&lt;{ quiz, questions[] }&gt;</t>
  </si>
  <si>
    <t>{
  "success": true,
  "data": {
    "quiz": {
      "id": "550e8400-e29b-41d4-a716-446655440000",
      "title": "Vocabulary Review",
      "status": "PUBLISHED"
    },
    "question": {
      "id": "550e8400-e29b-41d4-a716-446655440000",
      "questionType": "MULTIPLE_CHOICE",
      "points": 1
    }
  }
}</t>
  </si>
  <si>
    <t>404 Not Found — quiz không tồn tại
500 Internal Server Error — lỗi ngoài dự kiến.</t>
  </si>
  <si>
    <t>Handler: AdminQuizzesController -&gt; QuizzesService -&gt; QuizzesRepository
DB tables: quizzes, quiz_questions, question_options
Guards/Middleware: JwtAuthGuard, RolesGuard(ADMIN)
Packages: @prisma/client</t>
  </si>
  <si>
    <t>Notes: Admin được xem đáp án đúng.
Tests: E2E: nested order</t>
  </si>
  <si>
    <t>QUI-005</t>
  </si>
  <si>
    <t>operationId: postAdminQuizzes
Summary: Tạo quiz DRAFT cho một bài báo</t>
  </si>
  <si>
    <t>Content-Type: application/json
Schema: PostAdminQuizzesDto
- articleId: string(uuid) (required)
- title: string (required)
- description: string (optional)</t>
  </si>
  <si>
    <t>{
  "articleId": "550e8400-e29b-41d4-a716-446655440000",
  "title": "How Technology Changes Learning",
  "description": "Mô tả ngắn"
}</t>
  </si>
  <si>
    <t>201 Created
Schema: StandardSuccessResponse&lt;{ quiz }&gt;</t>
  </si>
  <si>
    <t>{
  "success": true,
  "data": {
    "quiz": {
      "id": "550e8400-e29b-41d4-a716-446655440000",
      "title": "Vocabulary Review",
      "status": "PUBLISHED"
    }
  }
}</t>
  </si>
  <si>
    <t>404 Not Found — article không tồn tại
409 Conflict — article archived nếu policy cấm
500 Internal Server Error — lỗi ngoài dự kiến.</t>
  </si>
  <si>
    <t>Handler: AdminQuizzesController -&gt; QuizzesService -&gt; QuizzesRepository
DB tables: quizzes, articles
Guards/Middleware: JwtAuthGuard, RolesGuard(ADMIN), ValidationPipe
Packages: @prisma/client</t>
  </si>
  <si>
    <t>Notes: Quiz chỉ gắn với article; câu hỏi thêm sau.
Tests: E2E: create draft 201</t>
  </si>
  <si>
    <t>QUI-006</t>
  </si>
  <si>
    <t>operationId: patchAdminQuizzesByQuizId
Summary: Cập nhật title/description quiz</t>
  </si>
  <si>
    <t>Content-Type: application/json
Schema: PatchAdminQuizzesByQuizIdDto
- title: string (optional)
- description: string (optional)</t>
  </si>
  <si>
    <t>{
  "title": "How Technology Changes Learning",
  "description": "Mô tả ngắn"
}</t>
  </si>
  <si>
    <t>200 OK
Schema: StandardSuccessResponse&lt;{ quiz }&gt;</t>
  </si>
  <si>
    <t>404 Not Found — không tồn tại
409 Conflict — archived
500 Internal Server Error — lỗi ngoài dự kiến.</t>
  </si>
  <si>
    <t>Handler: AdminQuizzesController -&gt; QuizzesService -&gt; QuizzesRepository
DB tables: quizzes
Guards/Middleware: JwtAuthGuard, RolesGuard(ADMIN), ValidationPipe
Packages: @prisma/client</t>
  </si>
  <si>
    <t>Notes: Không đổi status tại API này.
Tests: E2E: partial update</t>
  </si>
  <si>
    <t>QUI-007</t>
  </si>
  <si>
    <t>operationId: deleteAdminQuizzesByQuizId
Summary: Xóa quiz DRAFT chưa có review session</t>
  </si>
  <si>
    <t>404 Not Found — không tồn tại
409 Conflict — đã publish/có review session
500 Internal Server Error — lỗi ngoài dự kiến.</t>
  </si>
  <si>
    <t>Handler: AdminQuizzesController -&gt; QuizzesService -&gt; QuizzesRepository
DB tables: quizzes, review_sessions
Guards/Middleware: JwtAuthGuard, RolesGuard(ADMIN)
Packages: @prisma/client</t>
  </si>
  <si>
    <t>Notes: Quiz đã dùng phải archive.
Tests: E2E: delete draft/409 used</t>
  </si>
  <si>
    <t>QUI-008</t>
  </si>
  <si>
    <t>/api/v1/admin/quizzes/:quizId/questions</t>
  </si>
  <si>
    <t>operationId: postAdminQuizzesByQuizIdQuestions
Summary: Thêm câu hỏi vào quiz</t>
  </si>
  <si>
    <t>Content-Type: application/json
Schema: PostAdminQuizzesByQuizIdQuestionsDto
- articleVocabularyId: string(uuid) (required)
- questionType: string enum (required)
- prompt: string (required)
- blankSentence: string (optional)
- correctAnswerText: string (optional)
- answerExplanation: string (optional)
- isCaseSensitive: boolean (optional)
- points: integer (optional)
- displayOrder: integer (optional)
- isActive: boolean (optional)</t>
  </si>
  <si>
    <t>{
  "articleVocabularyId": "550e8400-e29b-41d4-a716-446655440000",
  "questionType": "MULTIPLE_CHOICE",
  "prompt": "What does “harmful” mean?",
  "blankSentence": "Too much fertiliser can be _____.",
  "correctAnswerText": "harmful"
}</t>
  </si>
  <si>
    <t>201 Created
Schema: StandardSuccessResponse&lt;{ question }&gt;</t>
  </si>
  <si>
    <t>{
  "success": true,
  "data": {
    "question": {
      "id": "550e8400-e29b-41d4-a716-446655440000",
      "questionType": "MULTIPLE_CHOICE",
      "points": 1
    }
  }
}</t>
  </si>
  <si>
    <t>400 Bad Request — shape không hợp lệ
404 Not Found — quiz/term không tồn tại
409 Conflict — displayOrder trùng
422 Unprocessable Entity — term không thuộc article của quiz
500 Internal Server Error — lỗi ngoài dự kiến.</t>
  </si>
  <si>
    <t>Handler: AdminQuizzesController -&gt; QuizQuestionsService -&gt; QuizzesRepository
DB tables: quizzes, quiz_questions, article_sentence_terms, article_sentences
Guards/Middleware: JwtAuthGuard, RolesGuard(ADMIN), ValidationPipe
Packages: class-validator, @prisma/client</t>
  </si>
  <si>
    <t>Notes: FILL_BLANK bắt buộc blankSentence + correctAnswerText.
Tests: Unit: question shape/term ownership
E2E: create 201</t>
  </si>
  <si>
    <t>QUI-009</t>
  </si>
  <si>
    <t>/api/v1/admin/quizzes/:quizId/questions/:questionId</t>
  </si>
  <si>
    <t>operationId: getAdminQuizzesByQuizIdQuestionsByQuestionId
Summary: Admin xem một câu hỏi và options</t>
  </si>
  <si>
    <t>- quizId | in: path | required | string(uuid)
- questionId | in: path | required | string(uuid)</t>
  </si>
  <si>
    <t>200 OK
Schema: StandardSuccessResponse&lt;{ question, options }&gt;</t>
  </si>
  <si>
    <t>{
  "success": true,
  "data": {
    "question": {
      "id": "550e8400-e29b-41d4-a716-446655440000",
      "questionType": "MULTIPLE_CHOICE",
      "points": 1
    },
    "option": {
      "id": "550e8400-e29b-41d4-a716-446655440000",
      "optionText": "có hại",
      "isCorrect": true
    }
  }
}</t>
  </si>
  <si>
    <t>404 Not Found — question không thuộc quiz
500 Internal Server Error — lỗi ngoài dự kiến.</t>
  </si>
  <si>
    <t>Handler: AdminQuizzesController -&gt; QuizQuestionsService -&gt; QuizzesRepository
DB tables: quiz_questions, question_options
Guards/Middleware: JwtAuthGuard, RolesGuard(ADMIN)
Packages: @prisma/client</t>
  </si>
  <si>
    <t>Notes: Dùng màn hình edit.
Tests: E2E: ownership/order</t>
  </si>
  <si>
    <t>QUI-010</t>
  </si>
  <si>
    <t>operationId: patchAdminQuizzesByQuizIdQuestionsByQuestionId
Summary: Cập nhật câu hỏi</t>
  </si>
  <si>
    <t>Content-Type: application/json
Schema: PatchAdminQuizzesByQuizIdQuestionsByQuestionIdDto
- See referenced DTO fields: partial schema (optional)</t>
  </si>
  <si>
    <t>200 OK
Schema: StandardSuccessResponse&lt;{ question }&gt;</t>
  </si>
  <si>
    <t>400 Bad Request — shape sai
404 Not Found — không thuộc quiz
409 Conflict — displayOrder trùng
500 Internal Server Error — lỗi ngoài dự kiến.</t>
  </si>
  <si>
    <t>Handler: AdminQuizzesController -&gt; QuizQuestionsService -&gt; QuizzesRepository
DB tables: quiz_questions
Guards/Middleware: JwtAuthGuard, RolesGuard(ADMIN), ValidationPipe
Packages: class-validator, @prisma/client</t>
  </si>
  <si>
    <t>Notes: Validate lại loại câu hỏi sau merge dữ liệu cũ + mới.
Tests: Unit: partial shape validation
E2E: update</t>
  </si>
  <si>
    <t>QUI-011</t>
  </si>
  <si>
    <t>operationId: deleteAdminQuizzesByQuizIdQuestionsByQuestionId
Summary: Xóa câu hỏi chưa có answer history</t>
  </si>
  <si>
    <t>404 Not Found — không thuộc quiz
409 Conflict — đã có review_answers
500 Internal Server Error — lỗi ngoài dự kiến.</t>
  </si>
  <si>
    <t>Handler: AdminQuizzesController -&gt; QuizQuestionsService -&gt; QuizzesRepository
DB tables: quiz_questions, review_answers
Guards/Middleware: JwtAuthGuard, RolesGuard(ADMIN)
Packages: @prisma/client</t>
  </si>
  <si>
    <t>Notes: Nếu đã dùng, set is_active=false.
Tests: E2E: delete/409</t>
  </si>
  <si>
    <t>QUI-012</t>
  </si>
  <si>
    <t>/api/v1/admin/quizzes/:quizId/questions/:questionId/options</t>
  </si>
  <si>
    <t>operationId: postAdminQuizzesByQuizIdQuestionsByQuestionIdOptions
Summary: Thêm option cho câu hỏi trắc nghiệm</t>
  </si>
  <si>
    <t>Content-Type: application/json
Schema: PostAdminQuizzesByQuizIdQuestionsByQuestionIdOptionsDto
- optionText: string (required)
- isCorrect: boolean (optional)
- explanation: string (optional)
- displayOrder: integer (optional)</t>
  </si>
  <si>
    <t>{
  "optionText": "có hại",
  "isCorrect": true,
  "explanation": "sample_explanation",
  "displayOrder": 1
}</t>
  </si>
  <si>
    <t>201 Created
Schema: StandardSuccessResponse&lt;{ option }&gt;</t>
  </si>
  <si>
    <t>{
  "success": true,
  "data": {
    "option": {
      "id": "550e8400-e29b-41d4-a716-446655440000",
      "optionText": "có hại",
      "isCorrect": true
    }
  }
}</t>
  </si>
  <si>
    <t>400 Bad Request — option rỗng
404 Not Found — question không thuộc quiz
409 Conflict — displayOrder trùng
500 Internal Server Error — lỗi ngoài dự kiến.</t>
  </si>
  <si>
    <t>Handler: AdminQuizzesController -&gt; QuizQuestionsService -&gt; QuizzesRepository
DB tables: quiz_questions, question_options
Guards/Middleware: JwtAuthGuard, RolesGuard(ADMIN), ValidationPipe
Packages: @prisma/client</t>
  </si>
  <si>
    <t>Notes: Không tạo options cho FILL_BLANK.
Tests: Unit: question type guard
E2E: create 201</t>
  </si>
  <si>
    <t>QUI-013</t>
  </si>
  <si>
    <t>/api/v1/admin/quizzes/:quizId/questions/:questionId/options/:optionId</t>
  </si>
  <si>
    <t>operationId: patchAdminQuizzesByQuizIdQuestionsByQuestionIdOptionsByOptionId
Summary: Cập nhật option</t>
  </si>
  <si>
    <t>- quizId | in: path | required | string(uuid)
- questionId | in: path | required | string(uuid)
- optionId | in: path | required | string(uuid)</t>
  </si>
  <si>
    <t>Content-Type: application/json
Schema: PatchAdminQuizzesByQuizIdQuestionsByQuestionIdOptionsByOptionIdDto
- optionText: string (optional)
- isCorrect: boolean (optional)
- explanation: string (optional)
- displayOrder: integer (optional)</t>
  </si>
  <si>
    <t>200 OK
Schema: StandardSuccessResponse&lt;{ option }&gt;</t>
  </si>
  <si>
    <t>404 Not Found — option không thuộc question
409 Conflict — displayOrder trùng
500 Internal Server Error — lỗi ngoài dự kiến.</t>
  </si>
  <si>
    <t>Handler: AdminQuizzesController -&gt; QuizQuestionsService -&gt; QuizzesRepository
DB tables: question_options
Guards/Middleware: JwtAuthGuard, RolesGuard(ADMIN), ValidationPipe
Packages: @prisma/client</t>
  </si>
  <si>
    <t>Notes: Publication validation đảm bảo đúng số đáp án đúng.
Tests: E2E: update/ownership</t>
  </si>
  <si>
    <t>QUI-014</t>
  </si>
  <si>
    <t>operationId: deleteAdminQuizzesByQuizIdQuestionsByQuestionIdOptionsByOptionId
Summary: Xóa option chưa được dùng</t>
  </si>
  <si>
    <t>404 Not Found — không thuộc question
409 Conflict — đã được review_answers tham chiếu
500 Internal Server Error — lỗi ngoài dự kiến.</t>
  </si>
  <si>
    <t>Handler: AdminQuizzesController -&gt; QuizQuestionsService -&gt; QuizzesRepository
DB tables: question_options, review_answers
Guards/Middleware: JwtAuthGuard, RolesGuard(ADMIN)
Packages: @prisma/client</t>
  </si>
  <si>
    <t>Notes: Không cho xóa option đang được lịch sử chọn.
Tests: E2E: delete/409</t>
  </si>
  <si>
    <t>QUI-015</t>
  </si>
  <si>
    <t>/api/v1/admin/quizzes/:quizId/publish</t>
  </si>
  <si>
    <t>operationId: postAdminQuizzesByQuizIdPublish
Summary: Publish quiz sau khi kiểm tra câu hỏi/đáp án</t>
  </si>
  <si>
    <t>404 Not Found — không tồn tại
409 Conflict — đã publish
422 Unprocessable Entity — không có câu hỏi/đáp án không hợp lệ
500 Internal Server Error — lỗi ngoài dự kiến.</t>
  </si>
  <si>
    <t>Handler: AdminQuizzesController -&gt; QuizPublicationService -&gt; QuizzesRepository
DB tables: quizzes, quiz_questions, question_options
Guards/Middleware: JwtAuthGuard, RolesGuard(ADMIN)
Packages: @prisma/client</t>
  </si>
  <si>
    <t>Notes: QuizPublicationService validate active questions, points, option correctness.
Tests: Unit: publication rules
E2E: publish/422</t>
  </si>
  <si>
    <t>QUI-016</t>
  </si>
  <si>
    <t>/api/v1/admin/quizzes/:quizId/archive</t>
  </si>
  <si>
    <t>operationId: postAdminQuizzesByQuizIdArchive
Summary: Archive quiz</t>
  </si>
  <si>
    <t>Handler: AdminQuizzesController -&gt; QuizPublicationService -&gt; QuizzesRepository
DB tables: quizzes
Guards/Middleware: JwtAuthGuard, RolesGuard(ADMIN)
Packages: @prisma/client</t>
  </si>
  <si>
    <t>Notes: Review session đang chạy vẫn có thể hoàn tất bằng snapshot query hiện tại.
Tests: E2E: public list không còn quiz</t>
  </si>
  <si>
    <t>QUI-017</t>
  </si>
  <si>
    <t>/api/v1/admin/quizzes/:quizId/restore-draft</t>
  </si>
  <si>
    <t>operationId: postAdminQuizzesByQuizIdRestoreDraft
Summary: Đưa quiz archived về draft</t>
  </si>
  <si>
    <t>404 Not Found — không tồn tại
409 Conflict — trạng thái sai
500 Internal Server Error — lỗi ngoài dự kiến.</t>
  </si>
  <si>
    <t>Notes: published_at=null.
Tests: E2E: restore</t>
  </si>
  <si>
    <t>REV-001</t>
  </si>
  <si>
    <t>/api/v1/reviews/sessions</t>
  </si>
  <si>
    <t>operationId: postReviewsSessions
Summary: Bắt đầu phiên làm quiz</t>
  </si>
  <si>
    <t>Content-Type: application/json
Schema: PostReviewsSessionsDto
- quizId: string(uuid) (required)</t>
  </si>
  <si>
    <t>{
  "quizId": "550e8400-e29b-41d4-a716-446655440000"
}</t>
  </si>
  <si>
    <t>201 Created
Schema: StandardSuccessResponse&lt;{ session, questions[] }&gt;</t>
  </si>
  <si>
    <t>{
  "success": true,
  "data": {
    "question": {
      "id": "550e8400-e29b-41d4-a716-446655440000",
      "questionType": "MULTIPLE_CHOICE",
      "points": 1
    },
    "session": {
      "id": "550e8400-e29b-41d4-a716-446655440000",
      "status": "IN_PROGRESS"
    }
  }
}</t>
  </si>
  <si>
    <t>404 Not Found — quiz chưa publish
409 Conflict — đã có session IN_PROGRESS cho quiz
500 Internal Server Error — lỗi ngoài dự kiến.</t>
  </si>
  <si>
    <t>Handler: ReviewsController -&gt; ReviewsService -&gt; ReviewsRepository
DB tables: review_sessions, quizzes, quiz_questions, question_options
Guards/Middleware: JwtAuthGuard, ValidationPipe
Packages: @prisma/client</t>
  </si>
  <si>
    <t>Notes: Không trả is_correct/correctAnswerText; random option order có thể làm ở service.
Tests: Security: không lộ đáp án
E2E: start 201</t>
  </si>
  <si>
    <t>REV-002</t>
  </si>
  <si>
    <t>/api/v1/reviews/sessions/:sessionId</t>
  </si>
  <si>
    <t>operationId: getReviewsSessionsBySessionId
Summary: Lấy trạng thái và câu tiếp theo của session</t>
  </si>
  <si>
    <t>- sessionId | in: path | required | string(uuid)</t>
  </si>
  <si>
    <t>200 OK
Schema: StandardSuccessResponse&lt;{ session, progress, nextQuestion? }&gt;</t>
  </si>
  <si>
    <t>{
  "success": true,
  "data": {
    "progress": {
      "articleId": "550e8400-e29b-41d4-a716-446655440000",
      "status": "IN_PROGRESS",
      "progressPercent": 60
    },
    "session": {
      "id": "550e8400-e29b-41d4-a716-446655440000",
      "status": "IN_PROGRESS"
    }
  }
}</t>
  </si>
  <si>
    <t>Handler: ReviewsController -&gt; ReviewsService -&gt; ReviewsRepository
DB tables: review_sessions, review_answers, quiz_questions, question_options
Guards/Middleware: JwtAuthGuard
Packages: @prisma/client</t>
  </si>
  <si>
    <t>Notes: Không trả câu đã inactive sau khi session bắt đầu nếu policy snapshot chưa hỗ trợ; khóa quiz edit khi có session.
Tests: E2E: ownership/progress</t>
  </si>
  <si>
    <t>REV-003</t>
  </si>
  <si>
    <t>/api/v1/reviews/sessions/:sessionId/answers</t>
  </si>
  <si>
    <t>operationId: postReviewsSessionsBySessionIdAnswers
Summary: Gửi và chấm một câu trả lời</t>
  </si>
  <si>
    <t>Content-Type: application/json
Schema: PostReviewsSessionsBySessionIdAnswersDto
- quizQuestionId: string(uuid) (required)
- selectedOptionId: string(uuid) (optional)
- userAnswerText: string (optional)
- responseTimeMs: integer (optional)
- attemptNumber: integer (optional)</t>
  </si>
  <si>
    <t>{
  "quizQuestionId": "550e8400-e29b-41d4-a716-446655440000",
  "selectedOptionId": "550e8400-e29b-41d4-a716-446655440000",
  "userAnswerText": "harmful",
  "responseTimeMs": 3200,
  "attemptNumber": 1
}</t>
  </si>
  <si>
    <t>201 Created
Schema: StandardSuccessResponse&lt;{ answerId, isCorrect, correctAnswer, explanation, earnedPoints }&gt;</t>
  </si>
  <si>
    <t>{
  "success": true,
  "data": {
    "answerId": "550e8400-e29b-41d4-a716-446655440000",
    "isCorrect": true,
    "correctAnswer": "harmful",
    "explanation": "Đáp án đúng.",
    "earnedPoints": 1
  }
}</t>
  </si>
  <si>
    <t>400 Bad Request — answer shape sai
404 Not Found — session/question không hợp lệ
409 Conflict — session đã kết thúc/đã trả lời
500 Internal Server Error — lỗi ngoài dự kiến.</t>
  </si>
  <si>
    <t>Handler: ReviewsController -&gt; ReviewsService + AnswerGradingService + ReviewSchedulerService -&gt; ReviewsRepository
DB tables: review_sessions, review_answers, quiz_questions, question_options, user_vocabularies
Guards/Middleware: JwtAuthGuard, ValidationPipe
Packages: @prisma/client</t>
  </si>
  <si>
    <t>Notes: AnswerGradingService chấm option hoặc text; ghi review_answers; scheduler cập nhật user_vocab nếu đã lưu.
Tests: Unit: MCQ/FILL_BLANK grading
E2E: correct/incorrect/idempotency</t>
  </si>
  <si>
    <t>REV-004</t>
  </si>
  <si>
    <t>/api/v1/reviews/sessions/:sessionId/complete</t>
  </si>
  <si>
    <t>operationId: postReviewsSessionsBySessionIdComplete
Summary: Hoàn thành session và tính tổng điểm</t>
  </si>
  <si>
    <t>200 OK
Schema: StandardSuccessResponse&lt;{ result: { score, totalPoints, accuracy, correctCount, completedAt } }&gt;</t>
  </si>
  <si>
    <t>{
  "success": true,
  "data": {
    "result": {
      "score": 8,
      "totalPoints": 10,
      "accuracy": 0.8,
      "correctCount": 8,
      "completedAt": "2026-07-22T10:00:00Z"
    }
  }
}</t>
  </si>
  <si>
    <t>404 Not Found — session không thuộc user
409 Conflict — đã complete/thiếu answer bắt buộc
500 Internal Server Error — lỗi ngoài dự kiến.</t>
  </si>
  <si>
    <t>Handler: ReviewsController -&gt; ReviewsService -&gt; ReviewsRepository
DB tables: review_sessions, review_answers, quiz_questions
Guards/Middleware: JwtAuthGuard
Packages: @prisma/client</t>
  </si>
  <si>
    <t>Notes: Set status=COMPLETED và completed_at trong transaction.
Tests: Unit: score calculation
E2E: completion constraint</t>
  </si>
  <si>
    <t>REV-005</t>
  </si>
  <si>
    <t>/api/v1/reviews/sessions/:sessionId/abandon</t>
  </si>
  <si>
    <t>operationId: postReviewsSessionsBySessionIdAbandon
Summary: Hủy phiên quiz đang thực hiện</t>
  </si>
  <si>
    <t>404 Not Found — không thuộc user
409 Conflict — session đã complete
500 Internal Server Error — lỗi ngoài dự kiến.</t>
  </si>
  <si>
    <t>Handler: ReviewsController -&gt; ReviewsService -&gt; ReviewsRepository
DB tables: review_sessions
Guards/Middleware: JwtAuthGuard
Packages: @prisma/client</t>
  </si>
  <si>
    <t>Notes: Set ABANDONED; giữ answers đã ghi để audit.
Tests: E2E: abandon transition</t>
  </si>
  <si>
    <t>REV-006</t>
  </si>
  <si>
    <t>/api/v1/reviews/history</t>
  </si>
  <si>
    <t>operationId: getReviewsHistory
Summary: Lấy lịch sử làm quiz của user</t>
  </si>
  <si>
    <t>- page | in: query | required | integer
- limit | in: query | required | integer
- status | in: query | optional | string enum
- articleId | in: query | optional | string(uuid)
- quizId | in: query | optional | string(uuid)
- from | in: query | optional | string(date-time)
- to | in: query | optional | string(date-time)</t>
  </si>
  <si>
    <t>400 Bad Request — date/query sai
500 Internal Server Error — lỗi ngoài dự kiến.</t>
  </si>
  <si>
    <t>Handler: ReviewsController -&gt; ReviewsService -&gt; ReviewsRepository
DB tables: review_sessions, review_answers, quizzes, articles
Guards/Middleware: JwtAuthGuard
Packages: @prisma/client</t>
  </si>
  <si>
    <t>Notes: Mỗi item gồm score/accuracy tính từ answers.
Tests: Unit: aggregates
E2E: ownership/pagination</t>
  </si>
  <si>
    <t>REV-007</t>
  </si>
  <si>
    <t>/api/v1/reviews/sessions/:sessionId/result</t>
  </si>
  <si>
    <t>operationId: getReviewsSessionsBySessionIdResult
Summary: Xem chi tiết kết quả và đáp án của session hoàn tất</t>
  </si>
  <si>
    <t>200 OK
Schema: StandardSuccessResponse&lt;{ result, answers[] }&gt;</t>
  </si>
  <si>
    <t>404 Not Found — không thuộc user
409 Conflict — session chưa complete
500 Internal Server Error — lỗi ngoài dự kiến.</t>
  </si>
  <si>
    <t>Notes: Trả explanation và đáp án đúng sau khi hoàn thành.
Tests: Security: chỉ chính chủ
E2E: completed only</t>
  </si>
  <si>
    <t>REV-008</t>
  </si>
  <si>
    <t>/api/v1/reviews/due</t>
  </si>
  <si>
    <t>operationId: getReviewsDue
Summary: Gợi ý quiz/từ đến hạn ôn</t>
  </si>
  <si>
    <t>- limit | in: query | optional | integer
- articleId | in: query | optional | string(uuid)</t>
  </si>
  <si>
    <t>200 OK
Schema: StandardSuccessResponse&lt;{ dueVocabularyCount, recommendedQuizzes[] }&gt;</t>
  </si>
  <si>
    <t>{
  "success": true,
  "data": {
    "dueVocabularyCount": 0,
    "recommendedQuizzes": []
  }
}</t>
  </si>
  <si>
    <t>Handler: ReviewsController -&gt; ReviewsService -&gt; ReviewsRepository
DB tables: user_vocabularies, quiz_questions, quizzes
Guards/Middleware: JwtAuthGuard
Packages: @prisma/client</t>
  </si>
  <si>
    <t>Notes: Rule đơn giản, không AI: next_review_at và quiz chứa article_sentence_term tương ứng.
Tests: Unit: deterministic recommendation
E2E: current user only</t>
  </si>
  <si>
    <t>ANA-001</t>
  </si>
  <si>
    <t>/api/v1/analytics/me/overview</t>
  </si>
  <si>
    <t>operationId: getAnalyticsMeOverview
Summary: Dashboard học tập tổng quan của user</t>
  </si>
  <si>
    <t>- from | in: query | optional | string(date-time)
- to | in: query | optional | string(date-time)</t>
  </si>
  <si>
    <t>200 OK
Schema: StandardSuccessResponse&lt;{ savedVocabulary, dueToday, mastered, articlesCompleted, quizAccuracy, sessions }&gt;</t>
  </si>
  <si>
    <t>{
  "success": true,
  "data": {
    "article": {
      "id": "550e8400-e29b-41d4-a716-446655440000",
      "title": "How Technology Changes Learning",
      "slug": "how-technology-changes-learning",
      "status": "PUBLISHED"
    },
    "quiz": {
      "id": "550e8400-e29b-41d4-a716-446655440000",
      "title": "Vocabulary Review",
      "status": "PUBLISHED"
    },
    "session": {
      "id": "550e8400-e29b-41d4-a716-446655440000",
      "status": "IN_PROGRESS"
    }
  }
}</t>
  </si>
  <si>
    <t>400 Bad Request — date range sai
500 Internal Server Error — lỗi ngoài dự kiến.</t>
  </si>
  <si>
    <t>Handler: AnalyticsController -&gt; AnalyticsService -&gt; PrismaService
DB tables: user_vocabularies, user_article_progress, review_sessions, review_answers
Guards/Middleware: JwtAuthGuard
Packages: @prisma/client</t>
  </si>
  <si>
    <t>Notes: Aggregate read-only; timezone theo user/app.
Tests: Unit: aggregate edge cases
E2E: zero-data user</t>
  </si>
  <si>
    <t>ANA-002</t>
  </si>
  <si>
    <t>/api/v1/analytics/me/vocabulary</t>
  </si>
  <si>
    <t>operationId: getAnalyticsMeVocabulary
Summary: Thống kê từ vựng theo trạng thái/CEFR/thời gian</t>
  </si>
  <si>
    <t>- from | in: query | optional | string(date-time)
- to | in: query | optional | string(date-time)
- groupBy | in: query | optional | string enum</t>
  </si>
  <si>
    <t>200 OK
Schema: StandardSuccessResponse&lt;{ totals, byStatus, byCefr, savedTrend }&gt;</t>
  </si>
  <si>
    <t>{
  "success": true,
  "data": {
    "totals": "&lt;totals&gt;",
    "byStatus": "&lt;byStatus&gt;",
    "byCefr": "&lt;byCefr&gt;",
    "savedTrend": "&lt;savedTrend&gt;"
  }
}</t>
  </si>
  <si>
    <t>400 Bad Request — groupBy/date sai
500 Internal Server Error — lỗi ngoài dự kiến.</t>
  </si>
  <si>
    <t>Handler: AnalyticsController -&gt; AnalyticsService -&gt; PrismaService
DB tables: user_vocabularies
Guards/Middleware: JwtAuthGuard
Packages: @prisma/client</t>
  </si>
  <si>
    <t>Notes: Dùng cho chart dashboard user.
Tests: Unit: grouping
E2E: ownership</t>
  </si>
  <si>
    <t>ANA-003</t>
  </si>
  <si>
    <t>/api/v1/analytics/me/reading</t>
  </si>
  <si>
    <t>operationId: getAnalyticsMeReading
Summary: Thống kê hoạt động đọc bài</t>
  </si>
  <si>
    <t>200 OK
Schema: StandardSuccessResponse&lt;{ opened, completed, completionRate, byCategory, trend }&gt;</t>
  </si>
  <si>
    <t>{
  "success": true,
  "data": {
    "opened": "&lt;opened&gt;",
    "completed": "&lt;completed&gt;",
    "completionRate": "&lt;completionRate&gt;",
    "byCategory": "&lt;byCategory&gt;",
    "trend": "&lt;trend&gt;"
  }
}</t>
  </si>
  <si>
    <t>Handler: AnalyticsController -&gt; AnalyticsService -&gt; PrismaService
DB tables: user_article_progress, articles, categories
Guards/Middleware: JwtAuthGuard
Packages: @prisma/client</t>
  </si>
  <si>
    <t>Notes: Không tính article archived là mất dữ liệu lịch sử.
Tests: Unit: completion rate
E2E: zero denominator</t>
  </si>
  <si>
    <t>ANA-004</t>
  </si>
  <si>
    <t>/api/v1/analytics/me/quizzes</t>
  </si>
  <si>
    <t>operationId: getAnalyticsMeQuizzes
Summary: Thống kê kết quả quiz</t>
  </si>
  <si>
    <t>- from | in: query | optional | string(date-time)
- to | in: query | optional | string(date-time)
- articleId | in: query | optional | string(uuid)</t>
  </si>
  <si>
    <t>200 OK
Schema: StandardSuccessResponse&lt;{ sessions, accuracy, averageScore, byQuestionType, trend }&gt;</t>
  </si>
  <si>
    <t>{
  "success": true,
  "data": {
    "session": {
      "id": "550e8400-e29b-41d4-a716-446655440000",
      "status": "IN_PROGRESS"
    }
  }
}</t>
  </si>
  <si>
    <t>Handler: AnalyticsController -&gt; AnalyticsService -&gt; PrismaService
DB tables: review_sessions, review_answers, quiz_questions
Guards/Middleware: JwtAuthGuard
Packages: @prisma/client</t>
  </si>
  <si>
    <t>Notes: Chỉ tính session COMPLETED.
Tests: Unit: completed filter
E2E: aggregate</t>
  </si>
  <si>
    <t>ANA-005</t>
  </si>
  <si>
    <t>/api/v1/admin/analytics/overview</t>
  </si>
  <si>
    <t>operationId: getAdminAnalyticsOverview
Summary: Dashboard vận hành dành cho admin</t>
  </si>
  <si>
    <t>200 OK
Schema: StandardSuccessResponse&lt;{ users, activeUsers, articles, publishedArticles, savedVocabulary, completedSessions }&gt;</t>
  </si>
  <si>
    <t>{
  "success": true,
  "data": {
    "user": {
      "id": "550e8400-e29b-41d4-a716-446655440000",
      "email": "user@example.com",
      "role": "USER",
      "status": "ACTIVE"
    },
    "article": {
      "id": "550e8400-e29b-41d4-a716-446655440000",
      "title": "How Technology Changes Learning",
      "slug": "how-technology-changes-learning",
      "status": "PUBLISHED"
    }
  }
}</t>
  </si>
  <si>
    <t>403 Forbidden — không phải ADMIN
400 Bad Request — date range sai
500 Internal Server Error — lỗi ngoài dự kiến.</t>
  </si>
  <si>
    <t>Handler: AdminAnalyticsController -&gt; AnalyticsService -&gt; PrismaService
DB tables: users, articles, user_vocabularies, review_sessions
Guards/Middleware: JwtAuthGuard, RolesGuard(ADMIN)
Packages: @prisma/client</t>
  </si>
  <si>
    <t>Notes: Không trả dữ liệu cá nhân chi tiết.
Tests: E2E: USER 403; aggregate sanity</t>
  </si>
  <si>
    <t>ANA-006</t>
  </si>
  <si>
    <t>/api/v1/admin/analytics/content</t>
  </si>
  <si>
    <t>operationId: getAdminAnalyticsContent
Summary: Thống kê hiệu quả bài báo và quiz</t>
  </si>
  <si>
    <t>- from | in: query | optional | string(date-time)
- to | in: query | optional | string(date-time)
- categoryId | in: query | optional | string(uuid)</t>
  </si>
  <si>
    <t>200 OK
Schema: StandardSuccessResponse&lt;{ topArticles, completionRates, termSaveCounts, quizPerformance }&gt;</t>
  </si>
  <si>
    <t>Handler: AdminAnalyticsController -&gt; AnalyticsService -&gt; PrismaService
DB tables: articles, categories, user_article_progress, user_vocabularies, article_sentence_terms, quizzes, review_sessions, review_answers
Guards/Middleware: JwtAuthGuard, RolesGuard(ADMIN)
Packages: @prisma/client</t>
  </si>
  <si>
    <t>Notes: Cho biết content nào được đọc/lưu từ nhiều; phục vụ quản trị thủ công.
Tests: Unit: ranking/aggregation
E2E: filter category</t>
  </si>
  <si>
    <t>ANA-007</t>
  </si>
  <si>
    <t>/api/v1/admin/analytics/users</t>
  </si>
  <si>
    <t>operationId: getAdminAnalyticsUsers
Summary: Thống kê mức độ hoạt động của user</t>
  </si>
  <si>
    <t>- from | in: query | optional | string(date-time)
- to | in: query | optional | string(date-time)
- status | in: query | optional | string enum</t>
  </si>
  <si>
    <t>200 OK
Schema: StandardSuccessResponse&lt;{ registrationsTrend, activeLearners, retentionProxy, learningDistribution }&gt;</t>
  </si>
  <si>
    <t>{
  "success": true,
  "data": {
    "registrationsTrend": "&lt;registrationsTrend&gt;",
    "activeLearners": "&lt;activeLearners&gt;",
    "retentionProxy": "&lt;retentionProxy&gt;",
    "learningDistribution": "&lt;learningDistribution&gt;"
  }
}</t>
  </si>
  <si>
    <t>Handler: AdminAnalyticsController -&gt; AnalyticsService -&gt; PrismaService
DB tables: users, user_article_progress, user_vocabularies, review_sessions
Guards/Middleware: JwtAuthGuard, RolesGuard(ADMIN)
Packages: @prisma/client</t>
  </si>
  <si>
    <t>Notes: MVP dùng proxy đơn giản, không xây cohort engine phức tạp.
Tests: Unit: active user definition
E2E: aggregate</t>
  </si>
  <si>
    <t>VOCAB MATE MVP - API IMPLEMENTATION TIMETABLE &amp; PROGRESS TRACKER</t>
  </si>
  <si>
    <t>Project Start</t>
  </si>
  <si>
    <t>Total API</t>
  </si>
  <si>
    <t>Done</t>
  </si>
  <si>
    <t>In Progress</t>
  </si>
  <si>
    <t>Blocked</t>
  </si>
  <si>
    <t>Completion</t>
  </si>
  <si>
    <t>Remaining Hours</t>
  </si>
  <si>
    <t>Passed E2E</t>
  </si>
  <si>
    <t>CÁCH DÙNG TRACKER
1) Chọn Status/Priority/Test từ dropdown.
2) Progress % tự tính theo Status.
3) Planned Start/End tự tính từ Project Start + Week.
4) Điền Owner, Actual End và Blocker/Notes khi triển khai.</t>
  </si>
  <si>
    <t>Target Release</t>
  </si>
  <si>
    <t>Planned Weeks</t>
  </si>
  <si>
    <t>Total Planned Hours</t>
  </si>
  <si>
    <t>Module</t>
  </si>
  <si>
    <t>Progress</t>
  </si>
  <si>
    <t>Est. Hours</t>
  </si>
  <si>
    <t>No.</t>
  </si>
  <si>
    <t>Phase</t>
  </si>
  <si>
    <t>Week</t>
  </si>
  <si>
    <t>Task / Description</t>
  </si>
  <si>
    <t>Dependency</t>
  </si>
  <si>
    <t>Priority</t>
  </si>
  <si>
    <t>Planned Start</t>
  </si>
  <si>
    <t>Planned End</t>
  </si>
  <si>
    <t>Status</t>
  </si>
  <si>
    <t>Progress %</t>
  </si>
  <si>
    <t>Unit Test</t>
  </si>
  <si>
    <t>E2E Test</t>
  </si>
  <si>
    <t>API Doc</t>
  </si>
  <si>
    <t>Owner</t>
  </si>
  <si>
    <t>Actual End</t>
  </si>
  <si>
    <t>Blocker / Notes</t>
  </si>
  <si>
    <t>1. Foundation</t>
  </si>
  <si>
    <t>NestJS project + PrismaModule</t>
  </si>
  <si>
    <t>P0</t>
  </si>
  <si>
    <t>Not Started</t>
  </si>
  <si>
    <t>Unassigned</t>
  </si>
  <si>
    <t>HEA-001 + UsersRepository skeleton</t>
  </si>
  <si>
    <t>P1</t>
  </si>
  <si>
    <t>AUT-002 + JwtAuthGuard</t>
  </si>
  <si>
    <t>P2</t>
  </si>
  <si>
    <t>AUT-002 + RolesGuard</t>
  </si>
  <si>
    <t>2. Content Management</t>
  </si>
  <si>
    <t>CAT-001/CAT-005</t>
  </si>
  <si>
    <t>3. Reading Experience</t>
  </si>
  <si>
    <t>3. Learning Core</t>
  </si>
  <si>
    <t>4. Assessment</t>
  </si>
  <si>
    <t>ART-012 + ART-017</t>
  </si>
  <si>
    <t>5. Analytics &amp; Release</t>
  </si>
  <si>
    <t>Core modules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</si>
</sst>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0"/>
      <color rgb="FF16324F"/>
      <name val="Carlito"/>
    </font>
    <font>
      <b/>
      <sz val="9"/>
      <color rgb="FF16324F"/>
      <name val="Carlito"/>
    </font>
    <font>
      <b/>
      <sz val="9"/>
      <color rgb="FFFFFFFF"/>
      <name val="Carlito"/>
    </font>
    <font>
      <b/>
      <sz val="12"/>
      <color rgb="FF16324F"/>
      <name val="Carlito"/>
    </font>
    <font>
      <sz val="10"/>
      <color rgb="FF243B53"/>
      <name val="Aptos"/>
    </font>
    <font>
      <b/>
      <sz val="18"/>
      <color rgb="FFFFFFFF"/>
      <name val="Aptos Display"/>
    </font>
    <font>
      <i/>
      <sz val="10"/>
      <color rgb="FF243B53"/>
      <name val="Aptos"/>
    </font>
    <font>
      <b/>
      <sz val="10"/>
      <color rgb="FFFFFFFF"/>
      <name val="Aptos"/>
    </font>
    <font>
      <b/>
      <sz val="10"/>
      <color rgb="FF163A5F"/>
      <name val="Aptos"/>
    </font>
    <font>
      <sz val="9"/>
      <color rgb="FF243B53"/>
      <name val="Aptos"/>
    </font>
    <font>
      <b/>
      <sz val="9"/>
      <color rgb="FF163A5F"/>
      <name val="Aptos"/>
    </font>
    <font>
      <b/>
      <sz val="12"/>
      <color rgb="FFFFFFFF"/>
      <name val="Aptos"/>
    </font>
    <font>
      <b/>
      <sz val="9"/>
      <color rgb="FFFFFFFF"/>
      <name val="Aptos"/>
    </font>
    <font>
      <sz val="9"/>
      <color rgb="FF163A5F"/>
      <name val="Aptos Mono"/>
    </font>
    <font>
      <sz val="8"/>
      <color rgb="FF243B53"/>
      <name val="Aptos Mono"/>
    </font>
  </fonts>
  <fills count="22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0"/>
      </patternFill>
    </fill>
    <fill>
      <patternFill patternType="solid">
        <fgColor rgb="FFF6F8FA"/>
      </patternFill>
    </fill>
    <fill>
      <patternFill patternType="solid">
        <fgColor rgb="FFDFF3E4"/>
      </patternFill>
    </fill>
    <fill>
      <patternFill patternType="solid">
        <fgColor rgb="FFFFF4CC"/>
      </patternFill>
    </fill>
    <fill>
      <patternFill patternType="solid">
        <fgColor rgb="FFFDE2E2"/>
      </patternFill>
    </fill>
    <fill>
      <patternFill patternType="solid">
        <fgColor rgb="FFFFE8CC"/>
      </patternFill>
    </fill>
    <fill>
      <patternFill patternType="solid">
        <fgColor rgb="FF163A5F"/>
      </patternFill>
    </fill>
    <fill>
      <patternFill patternType="solid">
        <fgColor rgb="FFDCEAF4"/>
      </patternFill>
    </fill>
    <fill>
      <patternFill patternType="solid">
        <fgColor rgb="FF1F5A85"/>
      </patternFill>
    </fill>
    <fill>
      <patternFill patternType="solid">
        <fgColor rgb="FFE8F6F5"/>
      </patternFill>
    </fill>
    <fill>
      <patternFill patternType="solid">
        <fgColor rgb="FFFDECEC"/>
      </patternFill>
    </fill>
    <fill>
      <patternFill patternType="solid">
        <fgColor rgb="FFEAF3F8"/>
      </patternFill>
    </fill>
    <fill>
      <patternFill patternType="solid">
        <fgColor rgb="FFFFF7E6"/>
      </patternFill>
    </fill>
    <fill>
      <patternFill patternType="solid">
        <fgColor rgb="FFF5F7FA"/>
      </patternFill>
    </fill>
    <fill>
      <patternFill patternType="solid">
        <fgColor rgb="FF2C7A7B"/>
      </patternFill>
    </fill>
    <fill>
      <patternFill patternType="solid">
        <fgColor rgb="FFFFFFFF"/>
      </patternFill>
    </fill>
    <fill>
      <patternFill patternType="solid">
        <fgColor rgb="FFF8FBFD"/>
      </patternFill>
    </fill>
  </fills>
  <borders count="18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2F6F7E"/>
      </left>
      <right/>
      <top style="thin">
        <color rgb="FF2F6F7E"/>
      </top>
      <bottom style="thin">
        <color rgb="FF2F6F7E"/>
      </bottom>
      <diagonal/>
    </border>
    <border>
      <left/>
      <right/>
      <top style="thin">
        <color rgb="FF2F6F7E"/>
      </top>
      <bottom style="thin">
        <color rgb="FF2F6F7E"/>
      </bottom>
      <diagonal/>
    </border>
    <border>
      <left/>
      <right style="thin">
        <color rgb="FF2F6F7E"/>
      </right>
      <top style="thin">
        <color rgb="FF2F6F7E"/>
      </top>
      <bottom style="thin">
        <color rgb="FF2F6F7E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5" fillId="5" borderId="9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164" fontId="4" fillId="0" borderId="3" xfId="0" applyNumberFormat="1" applyFont="1" applyBorder="1"/>
    <xf numFmtId="164" fontId="4" fillId="0" borderId="5" xfId="0" applyNumberFormat="1" applyFont="1" applyBorder="1"/>
    <xf numFmtId="0" fontId="7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7" xfId="0" applyNumberFormat="1" applyFont="1" applyBorder="1" applyAlignment="1">
      <alignment vertical="top" wrapText="1"/>
    </xf>
    <xf numFmtId="9" fontId="4" fillId="0" borderId="2" xfId="0" applyNumberFormat="1" applyFont="1" applyBorder="1" applyAlignment="1">
      <alignment vertical="top" wrapText="1"/>
    </xf>
    <xf numFmtId="9" fontId="4" fillId="0" borderId="0" xfId="0" applyNumberFormat="1" applyFont="1" applyAlignment="1">
      <alignment vertical="top" wrapText="1"/>
    </xf>
    <xf numFmtId="9" fontId="4" fillId="0" borderId="7" xfId="0" applyNumberFormat="1" applyFont="1" applyBorder="1" applyAlignment="1">
      <alignment vertical="top" wrapText="1"/>
    </xf>
    <xf numFmtId="9" fontId="4" fillId="0" borderId="0" xfId="0" applyNumberFormat="1" applyFont="1"/>
    <xf numFmtId="9" fontId="4" fillId="0" borderId="7" xfId="0" applyNumberFormat="1" applyFont="1" applyBorder="1"/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9" fontId="8" fillId="3" borderId="7" xfId="0" applyNumberFormat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2" fillId="13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vertical="top" wrapText="1"/>
    </xf>
    <xf numFmtId="0" fontId="15" fillId="18" borderId="0" xfId="0" applyFont="1" applyFill="1" applyAlignment="1">
      <alignment vertical="top" wrapText="1"/>
    </xf>
    <xf numFmtId="0" fontId="14" fillId="18" borderId="0" xfId="0" applyFont="1" applyFill="1" applyAlignment="1">
      <alignment horizontal="center" vertical="top" wrapText="1"/>
    </xf>
    <xf numFmtId="0" fontId="17" fillId="11" borderId="0" xfId="0" applyFont="1" applyFill="1" applyAlignment="1">
      <alignment horizontal="center" vertical="center" wrapText="1"/>
    </xf>
    <xf numFmtId="0" fontId="15" fillId="20" borderId="0" xfId="0" applyFont="1" applyFill="1" applyAlignment="1">
      <alignment horizontal="center" vertical="top" wrapText="1"/>
    </xf>
    <xf numFmtId="0" fontId="14" fillId="20" borderId="0" xfId="0" applyFont="1" applyFill="1" applyAlignment="1">
      <alignment horizontal="center" vertical="top" wrapText="1"/>
    </xf>
    <xf numFmtId="0" fontId="18" fillId="20" borderId="0" xfId="0" applyFont="1" applyFill="1" applyAlignment="1">
      <alignment vertical="top" wrapText="1"/>
    </xf>
    <xf numFmtId="0" fontId="14" fillId="20" borderId="0" xfId="0" applyFont="1" applyFill="1" applyAlignment="1">
      <alignment vertical="top" wrapText="1"/>
    </xf>
    <xf numFmtId="0" fontId="19" fillId="20" borderId="0" xfId="0" applyFont="1" applyFill="1" applyAlignment="1">
      <alignment vertical="top" wrapText="1"/>
    </xf>
    <xf numFmtId="0" fontId="15" fillId="16" borderId="0" xfId="0" applyFont="1" applyFill="1" applyAlignment="1">
      <alignment horizontal="center" vertical="top" wrapText="1"/>
    </xf>
    <xf numFmtId="0" fontId="15" fillId="21" borderId="0" xfId="0" applyFont="1" applyFill="1" applyAlignment="1">
      <alignment horizontal="center" vertical="top" wrapText="1"/>
    </xf>
    <xf numFmtId="0" fontId="14" fillId="21" borderId="0" xfId="0" applyFont="1" applyFill="1" applyAlignment="1">
      <alignment horizontal="center" vertical="top" wrapText="1"/>
    </xf>
    <xf numFmtId="0" fontId="18" fillId="21" borderId="0" xfId="0" applyFont="1" applyFill="1" applyAlignment="1">
      <alignment vertical="top" wrapText="1"/>
    </xf>
    <xf numFmtId="0" fontId="14" fillId="21" borderId="0" xfId="0" applyFont="1" applyFill="1" applyAlignment="1">
      <alignment vertical="top" wrapText="1"/>
    </xf>
    <xf numFmtId="0" fontId="19" fillId="21" borderId="0" xfId="0" applyFont="1" applyFill="1" applyAlignment="1">
      <alignment vertical="top" wrapText="1"/>
    </xf>
    <xf numFmtId="0" fontId="15" fillId="1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10" fillId="11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left" vertical="center" wrapText="1"/>
    </xf>
    <xf numFmtId="0" fontId="9" fillId="17" borderId="0" xfId="0" applyFont="1" applyFill="1" applyAlignment="1">
      <alignment horizontal="left" vertical="center" wrapText="1"/>
    </xf>
    <xf numFmtId="0" fontId="12" fillId="19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vertical="top" wrapText="1"/>
    </xf>
    <xf numFmtId="0" fontId="16" fillId="19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31">
    <dxf>
      <font>
        <b/>
      </font>
      <fill>
        <patternFill>
          <bgColor rgb="FFFDE2E2"/>
        </patternFill>
      </fill>
    </dxf>
    <dxf>
      <fill>
        <patternFill>
          <bgColor rgb="FFDFF3E4"/>
        </patternFill>
      </fill>
    </dxf>
    <dxf>
      <font>
        <b/>
      </font>
      <fill>
        <patternFill>
          <bgColor rgb="FFFDE2E2"/>
        </patternFill>
      </fill>
    </dxf>
    <dxf>
      <fill>
        <patternFill>
          <bgColor rgb="FFDFF3E4"/>
        </patternFill>
      </fill>
    </dxf>
    <dxf>
      <font>
        <b/>
      </font>
      <fill>
        <patternFill>
          <bgColor rgb="FFFDE2E2"/>
        </patternFill>
      </fill>
    </dxf>
    <dxf>
      <font>
        <b/>
      </font>
      <fill>
        <patternFill>
          <bgColor rgb="FFEDE9FE"/>
        </patternFill>
      </fill>
    </dxf>
    <dxf>
      <font>
        <b/>
      </font>
      <fill>
        <patternFill>
          <bgColor rgb="FFFFF4CC"/>
        </patternFill>
      </fill>
    </dxf>
    <dxf>
      <font>
        <b/>
      </font>
      <fill>
        <patternFill>
          <bgColor rgb="FFDFF3E4"/>
        </patternFill>
      </fill>
    </dxf>
    <dxf>
      <fill>
        <patternFill>
          <bgColor rgb="FFEAF2F8"/>
        </patternFill>
      </fill>
    </dxf>
    <dxf>
      <fill>
        <patternFill>
          <bgColor rgb="FFFFE8CC"/>
        </patternFill>
      </fill>
    </dxf>
    <dxf>
      <font>
        <b/>
      </font>
      <fill>
        <patternFill>
          <bgColor rgb="FFFDE2E2"/>
        </patternFill>
      </fill>
    </dxf>
    <dxf>
      <font>
        <b/>
      </font>
      <fill>
        <patternFill>
          <bgColor rgb="FFFDE8E8"/>
        </patternFill>
      </fill>
    </dxf>
    <dxf>
      <font>
        <b/>
      </font>
      <fill>
        <patternFill>
          <bgColor rgb="FFEDE9FE"/>
        </patternFill>
      </fill>
    </dxf>
    <dxf>
      <font>
        <b/>
      </font>
      <fill>
        <patternFill>
          <bgColor rgb="FFFFF4D6"/>
        </patternFill>
      </fill>
    </dxf>
    <dxf>
      <font>
        <b/>
      </font>
      <fill>
        <patternFill>
          <bgColor rgb="FFE7F6EC"/>
        </patternFill>
      </fill>
    </dxf>
    <dxf>
      <font>
        <b/>
      </font>
      <fill>
        <patternFill>
          <bgColor rgb="FFE8F1F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0B5CAD"/>
      </font>
      <fill>
        <patternFill patternType="solid">
          <bgColor rgb="FFDCEEFF"/>
        </patternFill>
      </fill>
    </dxf>
    <dxf>
      <font>
        <b/>
      </font>
      <fill>
        <patternFill>
          <bgColor rgb="FFFDE8E8"/>
        </patternFill>
      </fill>
    </dxf>
    <dxf>
      <font>
        <b/>
      </font>
      <fill>
        <patternFill>
          <bgColor rgb="FFEDE9FE"/>
        </patternFill>
      </fill>
    </dxf>
    <dxf>
      <font>
        <b/>
      </font>
      <fill>
        <patternFill>
          <bgColor rgb="FFFFF4D6"/>
        </patternFill>
      </fill>
    </dxf>
    <dxf>
      <font>
        <b/>
      </font>
      <fill>
        <patternFill>
          <bgColor rgb="FFE7F6EC"/>
        </patternFill>
      </fill>
    </dxf>
    <dxf>
      <font>
        <b/>
      </font>
      <fill>
        <patternFill>
          <bgColor rgb="FFE8F1FB"/>
        </patternFill>
      </fill>
    </dxf>
    <dxf>
      <font>
        <b/>
      </font>
      <fill>
        <patternFill>
          <bgColor rgb="FFFDE8E8"/>
        </patternFill>
      </fill>
    </dxf>
    <dxf>
      <font>
        <b/>
      </font>
      <fill>
        <patternFill>
          <bgColor rgb="FFEDE9FE"/>
        </patternFill>
      </fill>
    </dxf>
    <dxf>
      <font>
        <b/>
      </font>
      <fill>
        <patternFill>
          <bgColor rgb="FFFFF4D6"/>
        </patternFill>
      </fill>
    </dxf>
    <dxf>
      <font>
        <b/>
      </font>
      <fill>
        <patternFill>
          <bgColor rgb="FFE7F6EC"/>
        </patternFill>
      </fill>
    </dxf>
    <dxf>
      <font>
        <b/>
      </font>
      <fill>
        <patternFill>
          <bgColor rgb="FFE8F1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waggerApiDocTable" displayName="SwaggerApiDocTable" ref="A24:N118">
  <tableColumns count="14">
    <tableColumn id="1" xr3:uid="{00000000-0010-0000-0000-000001000000}" name="API ID"/>
    <tableColumn id="2" xr3:uid="{00000000-0010-0000-0000-000002000000}" name="Tag / Module"/>
    <tableColumn id="3" xr3:uid="{00000000-0010-0000-0000-000003000000}" name="Method"/>
    <tableColumn id="4" xr3:uid="{00000000-0010-0000-0000-000004000000}" name="Endpoint"/>
    <tableColumn id="5" xr3:uid="{00000000-0010-0000-0000-000005000000}" name="Operation ID / Summary"/>
    <tableColumn id="6" xr3:uid="{00000000-0010-0000-0000-000006000000}" name="Security"/>
    <tableColumn id="7" xr3:uid="{00000000-0010-0000-0000-000007000000}" name="Parameters"/>
    <tableColumn id="8" xr3:uid="{00000000-0010-0000-0000-000008000000}" name="Request Body Schema"/>
    <tableColumn id="9" xr3:uid="{00000000-0010-0000-0000-000009000000}" name="Request Example"/>
    <tableColumn id="10" xr3:uid="{00000000-0010-0000-0000-00000A000000}" name="2xx Response Schema"/>
    <tableColumn id="11" xr3:uid="{00000000-0010-0000-0000-00000B000000}" name="Success Response Example"/>
    <tableColumn id="12" xr3:uid="{00000000-0010-0000-0000-00000C000000}" name="Error Responses"/>
    <tableColumn id="13" xr3:uid="{00000000-0010-0000-0000-00000D000000}" name="Implementation Mapping"/>
    <tableColumn id="14" xr3:uid="{00000000-0010-0000-0000-00000E000000}" name="Notes / Acceptance Tes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piProgressTable" displayName="ApiProgressTable" ref="A22:U116">
  <tableColumns count="21">
    <tableColumn id="1" xr3:uid="{00000000-0010-0000-0100-000001000000}" name="No."/>
    <tableColumn id="2" xr3:uid="{00000000-0010-0000-0100-000002000000}" name="Phase"/>
    <tableColumn id="3" xr3:uid="{00000000-0010-0000-0100-000003000000}" name="Week"/>
    <tableColumn id="4" xr3:uid="{00000000-0010-0000-0100-000004000000}" name="Module"/>
    <tableColumn id="5" xr3:uid="{00000000-0010-0000-0100-000005000000}" name="API ID"/>
    <tableColumn id="6" xr3:uid="{00000000-0010-0000-0100-000006000000}" name="Method"/>
    <tableColumn id="7" xr3:uid="{00000000-0010-0000-0100-000007000000}" name="Endpoint"/>
    <tableColumn id="8" xr3:uid="{00000000-0010-0000-0100-000008000000}" name="Task / Description"/>
    <tableColumn id="9" xr3:uid="{00000000-0010-0000-0100-000009000000}" name="Dependency"/>
    <tableColumn id="10" xr3:uid="{00000000-0010-0000-0100-00000A000000}" name="Priority"/>
    <tableColumn id="11" xr3:uid="{00000000-0010-0000-0100-00000B000000}" name="Est. Hours"/>
    <tableColumn id="12" xr3:uid="{00000000-0010-0000-0100-00000C000000}" name="Planned Start"/>
    <tableColumn id="13" xr3:uid="{00000000-0010-0000-0100-00000D000000}" name="Planned End"/>
    <tableColumn id="14" xr3:uid="{00000000-0010-0000-0100-00000E000000}" name="Status"/>
    <tableColumn id="15" xr3:uid="{00000000-0010-0000-0100-00000F000000}" name="Progress %"/>
    <tableColumn id="16" xr3:uid="{00000000-0010-0000-0100-000010000000}" name="Unit Test"/>
    <tableColumn id="17" xr3:uid="{00000000-0010-0000-0100-000011000000}" name="E2E Test"/>
    <tableColumn id="18" xr3:uid="{00000000-0010-0000-0100-000012000000}" name="API Doc"/>
    <tableColumn id="19" xr3:uid="{00000000-0010-0000-0100-000013000000}" name="Owner"/>
    <tableColumn id="20" xr3:uid="{00000000-0010-0000-0100-000014000000}" name="Actual End"/>
    <tableColumn id="21" xr3:uid="{00000000-0010-0000-0100-000015000000}" name="Blocker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workbookViewId="0"/>
  </sheetViews>
  <sheetFormatPr defaultRowHeight="14.25"/>
  <cols>
    <col min="1" max="1" width="25" customWidth="1"/>
    <col min="2" max="2" width="42" customWidth="1"/>
    <col min="3" max="3" width="34" customWidth="1"/>
    <col min="4" max="4" width="10" customWidth="1"/>
    <col min="5" max="5" width="42" customWidth="1"/>
    <col min="6" max="6" width="35" customWidth="1"/>
    <col min="7" max="7" width="30" customWidth="1"/>
    <col min="8" max="8" width="38" customWidth="1"/>
    <col min="9" max="9" width="43" customWidth="1"/>
    <col min="10" max="10" width="34" customWidth="1"/>
    <col min="11" max="11" width="38" customWidth="1"/>
  </cols>
  <sheetData>
    <row r="1" spans="1:11" ht="30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4" spans="1:11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4" customHeight="1">
      <c r="A5" s="17" t="s">
        <v>13</v>
      </c>
      <c r="B5" s="18" t="s">
        <v>14</v>
      </c>
      <c r="C5" s="68" t="s">
        <v>15</v>
      </c>
      <c r="D5" s="68"/>
      <c r="E5" s="68"/>
      <c r="F5" s="68"/>
      <c r="G5" s="68"/>
      <c r="H5" s="68"/>
      <c r="I5" s="68"/>
      <c r="J5" s="68"/>
      <c r="K5" s="69"/>
    </row>
    <row r="6" spans="1:11" ht="68.099999999999994" customHeight="1">
      <c r="A6" s="11" t="s">
        <v>13</v>
      </c>
      <c r="B6" s="12" t="s">
        <v>13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2" t="s">
        <v>23</v>
      </c>
      <c r="K6" s="13" t="s">
        <v>24</v>
      </c>
    </row>
    <row r="7" spans="1:11" ht="24" customHeight="1">
      <c r="A7" s="17" t="s">
        <v>25</v>
      </c>
      <c r="B7" s="18" t="s">
        <v>26</v>
      </c>
      <c r="C7" s="68" t="s">
        <v>27</v>
      </c>
      <c r="D7" s="68"/>
      <c r="E7" s="68"/>
      <c r="F7" s="68"/>
      <c r="G7" s="68"/>
      <c r="H7" s="68"/>
      <c r="I7" s="68"/>
      <c r="J7" s="68"/>
      <c r="K7" s="69"/>
    </row>
    <row r="8" spans="1:11" ht="68.099999999999994" customHeight="1">
      <c r="A8" s="11" t="s">
        <v>25</v>
      </c>
      <c r="B8" s="12" t="s">
        <v>28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2" t="s">
        <v>34</v>
      </c>
      <c r="I8" s="12" t="s">
        <v>35</v>
      </c>
      <c r="J8" s="12" t="s">
        <v>36</v>
      </c>
      <c r="K8" s="13" t="s">
        <v>37</v>
      </c>
    </row>
    <row r="9" spans="1:11" ht="68.099999999999994" customHeight="1">
      <c r="A9" s="11" t="s">
        <v>25</v>
      </c>
      <c r="B9" s="12" t="s">
        <v>38</v>
      </c>
      <c r="C9" s="12" t="s">
        <v>39</v>
      </c>
      <c r="D9" s="12" t="s">
        <v>30</v>
      </c>
      <c r="E9" s="12" t="s">
        <v>40</v>
      </c>
      <c r="F9" s="12" t="s">
        <v>32</v>
      </c>
      <c r="G9" s="12" t="s">
        <v>33</v>
      </c>
      <c r="H9" s="12" t="s">
        <v>41</v>
      </c>
      <c r="I9" s="12" t="s">
        <v>42</v>
      </c>
      <c r="J9" s="12" t="s">
        <v>43</v>
      </c>
      <c r="K9" s="13" t="s">
        <v>44</v>
      </c>
    </row>
    <row r="10" spans="1:11" ht="68.099999999999994" customHeight="1">
      <c r="A10" s="11" t="s">
        <v>25</v>
      </c>
      <c r="B10" s="12" t="s">
        <v>45</v>
      </c>
      <c r="C10" s="12" t="s">
        <v>46</v>
      </c>
      <c r="D10" s="12" t="s">
        <v>30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  <c r="K10" s="13" t="s">
        <v>53</v>
      </c>
    </row>
    <row r="11" spans="1:11" ht="68.099999999999994" customHeight="1">
      <c r="A11" s="11" t="s">
        <v>25</v>
      </c>
      <c r="B11" s="12" t="s">
        <v>54</v>
      </c>
      <c r="C11" s="12" t="s">
        <v>55</v>
      </c>
      <c r="D11" s="12" t="s">
        <v>30</v>
      </c>
      <c r="E11" s="12" t="s">
        <v>18</v>
      </c>
      <c r="F11" s="12" t="s">
        <v>56</v>
      </c>
      <c r="G11" s="12" t="s">
        <v>57</v>
      </c>
      <c r="H11" s="12" t="s">
        <v>58</v>
      </c>
      <c r="I11" s="12" t="s">
        <v>59</v>
      </c>
      <c r="J11" s="12" t="s">
        <v>60</v>
      </c>
      <c r="K11" s="13" t="s">
        <v>61</v>
      </c>
    </row>
    <row r="12" spans="1:11" ht="68.099999999999994" customHeight="1">
      <c r="A12" s="11" t="s">
        <v>25</v>
      </c>
      <c r="B12" s="12" t="s">
        <v>62</v>
      </c>
      <c r="C12" s="12" t="s">
        <v>63</v>
      </c>
      <c r="D12" s="12" t="s">
        <v>64</v>
      </c>
      <c r="E12" s="12" t="s">
        <v>65</v>
      </c>
      <c r="F12" s="12" t="s">
        <v>56</v>
      </c>
      <c r="G12" s="12" t="s">
        <v>66</v>
      </c>
      <c r="H12" s="12" t="s">
        <v>67</v>
      </c>
      <c r="I12" s="12" t="s">
        <v>68</v>
      </c>
      <c r="J12" s="12" t="s">
        <v>69</v>
      </c>
      <c r="K12" s="13" t="s">
        <v>70</v>
      </c>
    </row>
    <row r="13" spans="1:11" ht="24" customHeight="1">
      <c r="A13" s="17" t="s">
        <v>71</v>
      </c>
      <c r="B13" s="18" t="s">
        <v>72</v>
      </c>
      <c r="C13" s="68" t="s">
        <v>73</v>
      </c>
      <c r="D13" s="68"/>
      <c r="E13" s="68"/>
      <c r="F13" s="68"/>
      <c r="G13" s="68"/>
      <c r="H13" s="68"/>
      <c r="I13" s="68"/>
      <c r="J13" s="68"/>
      <c r="K13" s="69"/>
    </row>
    <row r="14" spans="1:11" ht="68.099999999999994" customHeight="1">
      <c r="A14" s="11" t="s">
        <v>71</v>
      </c>
      <c r="B14" s="12" t="s">
        <v>74</v>
      </c>
      <c r="C14" s="12" t="s">
        <v>75</v>
      </c>
      <c r="D14" s="12" t="s">
        <v>17</v>
      </c>
      <c r="E14" s="12" t="s">
        <v>18</v>
      </c>
      <c r="F14" s="12" t="s">
        <v>76</v>
      </c>
      <c r="G14" s="12" t="s">
        <v>57</v>
      </c>
      <c r="H14" s="12" t="s">
        <v>77</v>
      </c>
      <c r="I14" s="12" t="s">
        <v>78</v>
      </c>
      <c r="J14" s="12" t="s">
        <v>79</v>
      </c>
      <c r="K14" s="13" t="s">
        <v>80</v>
      </c>
    </row>
    <row r="15" spans="1:11" ht="68.099999999999994" customHeight="1">
      <c r="A15" s="11" t="s">
        <v>71</v>
      </c>
      <c r="B15" s="12" t="s">
        <v>74</v>
      </c>
      <c r="C15" s="12" t="s">
        <v>81</v>
      </c>
      <c r="D15" s="12" t="s">
        <v>64</v>
      </c>
      <c r="E15" s="12" t="s">
        <v>82</v>
      </c>
      <c r="F15" s="12" t="s">
        <v>83</v>
      </c>
      <c r="G15" s="12" t="s">
        <v>66</v>
      </c>
      <c r="H15" s="12" t="s">
        <v>84</v>
      </c>
      <c r="I15" s="12" t="s">
        <v>85</v>
      </c>
      <c r="J15" s="12" t="s">
        <v>86</v>
      </c>
      <c r="K15" s="13" t="s">
        <v>87</v>
      </c>
    </row>
    <row r="16" spans="1:11" ht="68.099999999999994" customHeight="1">
      <c r="A16" s="11" t="s">
        <v>71</v>
      </c>
      <c r="B16" s="12" t="s">
        <v>88</v>
      </c>
      <c r="C16" s="12" t="s">
        <v>89</v>
      </c>
      <c r="D16" s="12" t="s">
        <v>17</v>
      </c>
      <c r="E16" s="12" t="s">
        <v>90</v>
      </c>
      <c r="F16" s="12" t="s">
        <v>91</v>
      </c>
      <c r="G16" s="12" t="s">
        <v>92</v>
      </c>
      <c r="H16" s="12" t="s">
        <v>93</v>
      </c>
      <c r="I16" s="12" t="s">
        <v>94</v>
      </c>
      <c r="J16" s="12" t="s">
        <v>79</v>
      </c>
      <c r="K16" s="13" t="s">
        <v>95</v>
      </c>
    </row>
    <row r="17" spans="1:11" ht="68.099999999999994" customHeight="1">
      <c r="A17" s="11" t="s">
        <v>71</v>
      </c>
      <c r="B17" s="12" t="s">
        <v>96</v>
      </c>
      <c r="C17" s="12" t="s">
        <v>97</v>
      </c>
      <c r="D17" s="12" t="s">
        <v>17</v>
      </c>
      <c r="E17" s="12" t="s">
        <v>98</v>
      </c>
      <c r="F17" s="12" t="s">
        <v>99</v>
      </c>
      <c r="G17" s="12" t="s">
        <v>92</v>
      </c>
      <c r="H17" s="12" t="s">
        <v>100</v>
      </c>
      <c r="I17" s="12" t="s">
        <v>101</v>
      </c>
      <c r="J17" s="12" t="s">
        <v>79</v>
      </c>
      <c r="K17" s="13" t="s">
        <v>102</v>
      </c>
    </row>
    <row r="18" spans="1:11" ht="68.099999999999994" customHeight="1">
      <c r="A18" s="11" t="s">
        <v>71</v>
      </c>
      <c r="B18" s="12" t="s">
        <v>103</v>
      </c>
      <c r="C18" s="12" t="s">
        <v>104</v>
      </c>
      <c r="D18" s="12" t="s">
        <v>64</v>
      </c>
      <c r="E18" s="12" t="s">
        <v>105</v>
      </c>
      <c r="F18" s="12" t="s">
        <v>106</v>
      </c>
      <c r="G18" s="12" t="s">
        <v>107</v>
      </c>
      <c r="H18" s="12" t="s">
        <v>108</v>
      </c>
      <c r="I18" s="12" t="s">
        <v>109</v>
      </c>
      <c r="J18" s="12" t="s">
        <v>79</v>
      </c>
      <c r="K18" s="13" t="s">
        <v>110</v>
      </c>
    </row>
    <row r="19" spans="1:11" ht="68.099999999999994" customHeight="1">
      <c r="A19" s="11" t="s">
        <v>71</v>
      </c>
      <c r="B19" s="12" t="s">
        <v>111</v>
      </c>
      <c r="C19" s="12" t="s">
        <v>112</v>
      </c>
      <c r="D19" s="12" t="s">
        <v>64</v>
      </c>
      <c r="E19" s="12" t="s">
        <v>113</v>
      </c>
      <c r="F19" s="12" t="s">
        <v>114</v>
      </c>
      <c r="G19" s="12" t="s">
        <v>107</v>
      </c>
      <c r="H19" s="12" t="s">
        <v>115</v>
      </c>
      <c r="I19" s="12" t="s">
        <v>116</v>
      </c>
      <c r="J19" s="12" t="s">
        <v>79</v>
      </c>
      <c r="K19" s="13" t="s">
        <v>117</v>
      </c>
    </row>
    <row r="20" spans="1:11" ht="24" customHeight="1">
      <c r="A20" s="17" t="s">
        <v>118</v>
      </c>
      <c r="B20" s="18" t="s">
        <v>119</v>
      </c>
      <c r="C20" s="68" t="s">
        <v>120</v>
      </c>
      <c r="D20" s="68"/>
      <c r="E20" s="68"/>
      <c r="F20" s="68"/>
      <c r="G20" s="68"/>
      <c r="H20" s="68"/>
      <c r="I20" s="68"/>
      <c r="J20" s="68"/>
      <c r="K20" s="69"/>
    </row>
    <row r="21" spans="1:11" ht="68.099999999999994" customHeight="1">
      <c r="A21" s="11" t="s">
        <v>118</v>
      </c>
      <c r="B21" s="12" t="s">
        <v>121</v>
      </c>
      <c r="C21" s="12" t="s">
        <v>122</v>
      </c>
      <c r="D21" s="12" t="s">
        <v>17</v>
      </c>
      <c r="E21" s="12" t="s">
        <v>123</v>
      </c>
      <c r="F21" s="12" t="s">
        <v>124</v>
      </c>
      <c r="G21" s="12" t="s">
        <v>20</v>
      </c>
      <c r="H21" s="12" t="s">
        <v>125</v>
      </c>
      <c r="I21" s="12" t="s">
        <v>126</v>
      </c>
      <c r="J21" s="12" t="s">
        <v>79</v>
      </c>
      <c r="K21" s="13" t="s">
        <v>127</v>
      </c>
    </row>
    <row r="22" spans="1:11" ht="68.099999999999994" customHeight="1">
      <c r="A22" s="11" t="s">
        <v>118</v>
      </c>
      <c r="B22" s="12" t="s">
        <v>128</v>
      </c>
      <c r="C22" s="12" t="s">
        <v>129</v>
      </c>
      <c r="D22" s="12" t="s">
        <v>17</v>
      </c>
      <c r="E22" s="12" t="s">
        <v>130</v>
      </c>
      <c r="F22" s="12" t="s">
        <v>131</v>
      </c>
      <c r="G22" s="12" t="s">
        <v>20</v>
      </c>
      <c r="H22" s="12" t="s">
        <v>132</v>
      </c>
      <c r="I22" s="12" t="s">
        <v>133</v>
      </c>
      <c r="J22" s="12" t="s">
        <v>79</v>
      </c>
      <c r="K22" s="13" t="s">
        <v>134</v>
      </c>
    </row>
    <row r="23" spans="1:11" ht="68.099999999999994" customHeight="1">
      <c r="A23" s="11" t="s">
        <v>118</v>
      </c>
      <c r="B23" s="12" t="s">
        <v>135</v>
      </c>
      <c r="C23" s="12" t="s">
        <v>136</v>
      </c>
      <c r="D23" s="12" t="s">
        <v>17</v>
      </c>
      <c r="E23" s="12" t="s">
        <v>137</v>
      </c>
      <c r="F23" s="12" t="s">
        <v>91</v>
      </c>
      <c r="G23" s="12" t="s">
        <v>92</v>
      </c>
      <c r="H23" s="12" t="s">
        <v>138</v>
      </c>
      <c r="I23" s="12" t="s">
        <v>139</v>
      </c>
      <c r="J23" s="12" t="s">
        <v>79</v>
      </c>
      <c r="K23" s="13" t="s">
        <v>140</v>
      </c>
    </row>
    <row r="24" spans="1:11" ht="68.099999999999994" customHeight="1">
      <c r="A24" s="11" t="s">
        <v>118</v>
      </c>
      <c r="B24" s="12" t="s">
        <v>141</v>
      </c>
      <c r="C24" s="12" t="s">
        <v>142</v>
      </c>
      <c r="D24" s="12" t="s">
        <v>17</v>
      </c>
      <c r="E24" s="12" t="s">
        <v>143</v>
      </c>
      <c r="F24" s="12" t="s">
        <v>144</v>
      </c>
      <c r="G24" s="12" t="s">
        <v>92</v>
      </c>
      <c r="H24" s="12" t="s">
        <v>145</v>
      </c>
      <c r="I24" s="12" t="s">
        <v>146</v>
      </c>
      <c r="J24" s="12" t="s">
        <v>79</v>
      </c>
      <c r="K24" s="13" t="s">
        <v>134</v>
      </c>
    </row>
    <row r="25" spans="1:11" ht="68.099999999999994" customHeight="1">
      <c r="A25" s="11" t="s">
        <v>118</v>
      </c>
      <c r="B25" s="12" t="s">
        <v>135</v>
      </c>
      <c r="C25" s="12" t="s">
        <v>147</v>
      </c>
      <c r="D25" s="12" t="s">
        <v>30</v>
      </c>
      <c r="E25" s="12" t="s">
        <v>148</v>
      </c>
      <c r="F25" s="12" t="s">
        <v>131</v>
      </c>
      <c r="G25" s="12" t="s">
        <v>107</v>
      </c>
      <c r="H25" s="12" t="s">
        <v>149</v>
      </c>
      <c r="I25" s="12" t="s">
        <v>150</v>
      </c>
      <c r="J25" s="12" t="s">
        <v>151</v>
      </c>
      <c r="K25" s="13" t="s">
        <v>152</v>
      </c>
    </row>
    <row r="26" spans="1:11" ht="68.099999999999994" customHeight="1">
      <c r="A26" s="11" t="s">
        <v>118</v>
      </c>
      <c r="B26" s="12" t="s">
        <v>141</v>
      </c>
      <c r="C26" s="12" t="s">
        <v>153</v>
      </c>
      <c r="D26" s="12" t="s">
        <v>64</v>
      </c>
      <c r="E26" s="12" t="s">
        <v>154</v>
      </c>
      <c r="F26" s="12" t="s">
        <v>131</v>
      </c>
      <c r="G26" s="12" t="s">
        <v>107</v>
      </c>
      <c r="H26" s="12" t="s">
        <v>155</v>
      </c>
      <c r="I26" s="12" t="s">
        <v>156</v>
      </c>
      <c r="J26" s="12" t="s">
        <v>151</v>
      </c>
      <c r="K26" s="13" t="s">
        <v>157</v>
      </c>
    </row>
    <row r="27" spans="1:11" ht="68.099999999999994" customHeight="1">
      <c r="A27" s="11" t="s">
        <v>118</v>
      </c>
      <c r="B27" s="12" t="s">
        <v>158</v>
      </c>
      <c r="C27" s="12" t="s">
        <v>159</v>
      </c>
      <c r="D27" s="12" t="s">
        <v>64</v>
      </c>
      <c r="E27" s="12" t="s">
        <v>160</v>
      </c>
      <c r="F27" s="12" t="s">
        <v>161</v>
      </c>
      <c r="G27" s="12" t="s">
        <v>107</v>
      </c>
      <c r="H27" s="12" t="s">
        <v>162</v>
      </c>
      <c r="I27" s="12" t="s">
        <v>163</v>
      </c>
      <c r="J27" s="12" t="s">
        <v>79</v>
      </c>
      <c r="K27" s="13" t="s">
        <v>164</v>
      </c>
    </row>
    <row r="28" spans="1:11" ht="68.099999999999994" customHeight="1">
      <c r="A28" s="11" t="s">
        <v>118</v>
      </c>
      <c r="B28" s="12" t="s">
        <v>141</v>
      </c>
      <c r="C28" s="12" t="s">
        <v>165</v>
      </c>
      <c r="D28" s="12" t="s">
        <v>166</v>
      </c>
      <c r="E28" s="12" t="s">
        <v>143</v>
      </c>
      <c r="F28" s="12" t="s">
        <v>167</v>
      </c>
      <c r="G28" s="12" t="s">
        <v>92</v>
      </c>
      <c r="H28" s="12" t="s">
        <v>168</v>
      </c>
      <c r="I28" s="12" t="s">
        <v>169</v>
      </c>
      <c r="J28" s="12" t="s">
        <v>79</v>
      </c>
      <c r="K28" s="13" t="s">
        <v>170</v>
      </c>
    </row>
    <row r="29" spans="1:11" ht="24" customHeight="1">
      <c r="A29" s="17" t="s">
        <v>171</v>
      </c>
      <c r="B29" s="18" t="s">
        <v>172</v>
      </c>
      <c r="C29" s="68" t="s">
        <v>173</v>
      </c>
      <c r="D29" s="68"/>
      <c r="E29" s="68"/>
      <c r="F29" s="68"/>
      <c r="G29" s="68"/>
      <c r="H29" s="68"/>
      <c r="I29" s="68"/>
      <c r="J29" s="68"/>
      <c r="K29" s="69"/>
    </row>
    <row r="30" spans="1:11" ht="68.099999999999994" customHeight="1">
      <c r="A30" s="11" t="s">
        <v>171</v>
      </c>
      <c r="B30" s="12" t="s">
        <v>174</v>
      </c>
      <c r="C30" s="12" t="s">
        <v>175</v>
      </c>
      <c r="D30" s="12" t="s">
        <v>17</v>
      </c>
      <c r="E30" s="12" t="s">
        <v>176</v>
      </c>
      <c r="F30" s="12" t="s">
        <v>91</v>
      </c>
      <c r="G30" s="12" t="s">
        <v>20</v>
      </c>
      <c r="H30" s="12" t="s">
        <v>125</v>
      </c>
      <c r="I30" s="12" t="s">
        <v>177</v>
      </c>
      <c r="J30" s="12" t="s">
        <v>79</v>
      </c>
      <c r="K30" s="13" t="s">
        <v>178</v>
      </c>
    </row>
    <row r="31" spans="1:11" ht="68.099999999999994" customHeight="1">
      <c r="A31" s="11" t="s">
        <v>171</v>
      </c>
      <c r="B31" s="12" t="s">
        <v>179</v>
      </c>
      <c r="C31" s="12" t="s">
        <v>180</v>
      </c>
      <c r="D31" s="12" t="s">
        <v>17</v>
      </c>
      <c r="E31" s="12" t="s">
        <v>130</v>
      </c>
      <c r="F31" s="12" t="s">
        <v>181</v>
      </c>
      <c r="G31" s="12" t="s">
        <v>20</v>
      </c>
      <c r="H31" s="12" t="s">
        <v>182</v>
      </c>
      <c r="I31" s="12" t="s">
        <v>183</v>
      </c>
      <c r="J31" s="12" t="s">
        <v>79</v>
      </c>
      <c r="K31" s="13" t="s">
        <v>184</v>
      </c>
    </row>
    <row r="32" spans="1:11" ht="68.099999999999994" customHeight="1">
      <c r="A32" s="11" t="s">
        <v>171</v>
      </c>
      <c r="B32" s="12" t="s">
        <v>185</v>
      </c>
      <c r="C32" s="12" t="s">
        <v>186</v>
      </c>
      <c r="D32" s="12" t="s">
        <v>17</v>
      </c>
      <c r="E32" s="12" t="s">
        <v>187</v>
      </c>
      <c r="F32" s="12" t="s">
        <v>91</v>
      </c>
      <c r="G32" s="12" t="s">
        <v>92</v>
      </c>
      <c r="H32" s="12" t="s">
        <v>138</v>
      </c>
      <c r="I32" s="12" t="s">
        <v>188</v>
      </c>
      <c r="J32" s="12" t="s">
        <v>79</v>
      </c>
      <c r="K32" s="13" t="s">
        <v>189</v>
      </c>
    </row>
    <row r="33" spans="1:11" ht="68.099999999999994" customHeight="1">
      <c r="A33" s="11" t="s">
        <v>171</v>
      </c>
      <c r="B33" s="12" t="s">
        <v>190</v>
      </c>
      <c r="C33" s="12" t="s">
        <v>191</v>
      </c>
      <c r="D33" s="12" t="s">
        <v>17</v>
      </c>
      <c r="E33" s="12" t="s">
        <v>192</v>
      </c>
      <c r="F33" s="12" t="s">
        <v>193</v>
      </c>
      <c r="G33" s="12" t="s">
        <v>92</v>
      </c>
      <c r="H33" s="12" t="s">
        <v>194</v>
      </c>
      <c r="I33" s="12" t="s">
        <v>195</v>
      </c>
      <c r="J33" s="12" t="s">
        <v>79</v>
      </c>
      <c r="K33" s="13" t="s">
        <v>134</v>
      </c>
    </row>
    <row r="34" spans="1:11" ht="68.099999999999994" customHeight="1">
      <c r="A34" s="11" t="s">
        <v>171</v>
      </c>
      <c r="B34" s="12" t="s">
        <v>185</v>
      </c>
      <c r="C34" s="12" t="s">
        <v>196</v>
      </c>
      <c r="D34" s="12" t="s">
        <v>30</v>
      </c>
      <c r="E34" s="12" t="s">
        <v>197</v>
      </c>
      <c r="F34" s="12" t="s">
        <v>198</v>
      </c>
      <c r="G34" s="12" t="s">
        <v>107</v>
      </c>
      <c r="H34" s="12" t="s">
        <v>199</v>
      </c>
      <c r="I34" s="12" t="s">
        <v>200</v>
      </c>
      <c r="J34" s="12" t="s">
        <v>201</v>
      </c>
      <c r="K34" s="13" t="s">
        <v>202</v>
      </c>
    </row>
    <row r="35" spans="1:11" ht="68.099999999999994" customHeight="1">
      <c r="A35" s="11" t="s">
        <v>171</v>
      </c>
      <c r="B35" s="12" t="s">
        <v>190</v>
      </c>
      <c r="C35" s="12" t="s">
        <v>203</v>
      </c>
      <c r="D35" s="12" t="s">
        <v>64</v>
      </c>
      <c r="E35" s="12" t="s">
        <v>204</v>
      </c>
      <c r="F35" s="12" t="s">
        <v>205</v>
      </c>
      <c r="G35" s="12" t="s">
        <v>107</v>
      </c>
      <c r="H35" s="12" t="s">
        <v>206</v>
      </c>
      <c r="I35" s="12" t="s">
        <v>207</v>
      </c>
      <c r="J35" s="12" t="s">
        <v>208</v>
      </c>
      <c r="K35" s="13" t="s">
        <v>209</v>
      </c>
    </row>
    <row r="36" spans="1:11" ht="68.099999999999994" customHeight="1">
      <c r="A36" s="11" t="s">
        <v>171</v>
      </c>
      <c r="B36" s="12" t="s">
        <v>190</v>
      </c>
      <c r="C36" s="12" t="s">
        <v>210</v>
      </c>
      <c r="D36" s="12" t="s">
        <v>166</v>
      </c>
      <c r="E36" s="12" t="s">
        <v>192</v>
      </c>
      <c r="F36" s="12" t="s">
        <v>167</v>
      </c>
      <c r="G36" s="12" t="s">
        <v>92</v>
      </c>
      <c r="H36" s="12" t="s">
        <v>211</v>
      </c>
      <c r="I36" s="12" t="s">
        <v>212</v>
      </c>
      <c r="J36" s="12" t="s">
        <v>79</v>
      </c>
      <c r="K36" s="13" t="s">
        <v>213</v>
      </c>
    </row>
    <row r="37" spans="1:11" ht="68.099999999999994" customHeight="1">
      <c r="A37" s="11" t="s">
        <v>171</v>
      </c>
      <c r="B37" s="12" t="s">
        <v>214</v>
      </c>
      <c r="C37" s="12" t="s">
        <v>215</v>
      </c>
      <c r="D37" s="12" t="s">
        <v>30</v>
      </c>
      <c r="E37" s="12" t="s">
        <v>216</v>
      </c>
      <c r="F37" s="12" t="s">
        <v>217</v>
      </c>
      <c r="G37" s="12" t="s">
        <v>92</v>
      </c>
      <c r="H37" s="12" t="s">
        <v>218</v>
      </c>
      <c r="I37" s="12" t="s">
        <v>219</v>
      </c>
      <c r="J37" s="12" t="s">
        <v>220</v>
      </c>
      <c r="K37" s="13" t="s">
        <v>221</v>
      </c>
    </row>
    <row r="38" spans="1:11" ht="68.099999999999994" customHeight="1">
      <c r="A38" s="11" t="s">
        <v>171</v>
      </c>
      <c r="B38" s="12" t="s">
        <v>222</v>
      </c>
      <c r="C38" s="12" t="s">
        <v>223</v>
      </c>
      <c r="D38" s="12" t="s">
        <v>17</v>
      </c>
      <c r="E38" s="12" t="s">
        <v>224</v>
      </c>
      <c r="F38" s="12" t="s">
        <v>225</v>
      </c>
      <c r="G38" s="12" t="s">
        <v>92</v>
      </c>
      <c r="H38" s="12" t="s">
        <v>194</v>
      </c>
      <c r="I38" s="12" t="s">
        <v>226</v>
      </c>
      <c r="J38" s="12" t="s">
        <v>79</v>
      </c>
      <c r="K38" s="13" t="s">
        <v>227</v>
      </c>
    </row>
    <row r="39" spans="1:11" ht="68.099999999999994" customHeight="1">
      <c r="A39" s="11" t="s">
        <v>171</v>
      </c>
      <c r="B39" s="12" t="s">
        <v>228</v>
      </c>
      <c r="C39" s="12" t="s">
        <v>229</v>
      </c>
      <c r="D39" s="12" t="s">
        <v>17</v>
      </c>
      <c r="E39" s="12" t="s">
        <v>230</v>
      </c>
      <c r="F39" s="12" t="s">
        <v>231</v>
      </c>
      <c r="G39" s="12" t="s">
        <v>92</v>
      </c>
      <c r="H39" s="12" t="s">
        <v>232</v>
      </c>
      <c r="I39" s="12" t="s">
        <v>233</v>
      </c>
      <c r="J39" s="12" t="s">
        <v>79</v>
      </c>
      <c r="K39" s="13" t="s">
        <v>234</v>
      </c>
    </row>
    <row r="40" spans="1:11" ht="68.099999999999994" customHeight="1">
      <c r="A40" s="11" t="s">
        <v>171</v>
      </c>
      <c r="B40" s="12" t="s">
        <v>228</v>
      </c>
      <c r="C40" s="12" t="s">
        <v>235</v>
      </c>
      <c r="D40" s="12" t="s">
        <v>64</v>
      </c>
      <c r="E40" s="12" t="s">
        <v>236</v>
      </c>
      <c r="F40" s="12" t="s">
        <v>237</v>
      </c>
      <c r="G40" s="12" t="s">
        <v>107</v>
      </c>
      <c r="H40" s="12" t="s">
        <v>238</v>
      </c>
      <c r="I40" s="12" t="s">
        <v>239</v>
      </c>
      <c r="J40" s="12" t="s">
        <v>86</v>
      </c>
      <c r="K40" s="13" t="s">
        <v>240</v>
      </c>
    </row>
    <row r="41" spans="1:11" ht="68.099999999999994" customHeight="1">
      <c r="A41" s="11" t="s">
        <v>171</v>
      </c>
      <c r="B41" s="12" t="s">
        <v>241</v>
      </c>
      <c r="C41" s="12" t="s">
        <v>242</v>
      </c>
      <c r="D41" s="12" t="s">
        <v>30</v>
      </c>
      <c r="E41" s="12" t="s">
        <v>243</v>
      </c>
      <c r="F41" s="12" t="s">
        <v>244</v>
      </c>
      <c r="G41" s="12" t="s">
        <v>107</v>
      </c>
      <c r="H41" s="12" t="s">
        <v>245</v>
      </c>
      <c r="I41" s="12" t="s">
        <v>246</v>
      </c>
      <c r="J41" s="12" t="s">
        <v>247</v>
      </c>
      <c r="K41" s="13" t="s">
        <v>248</v>
      </c>
    </row>
    <row r="42" spans="1:11" ht="68.099999999999994" customHeight="1">
      <c r="A42" s="11" t="s">
        <v>171</v>
      </c>
      <c r="B42" s="12" t="s">
        <v>249</v>
      </c>
      <c r="C42" s="12" t="s">
        <v>250</v>
      </c>
      <c r="D42" s="12" t="s">
        <v>17</v>
      </c>
      <c r="E42" s="12" t="s">
        <v>251</v>
      </c>
      <c r="F42" s="12" t="s">
        <v>91</v>
      </c>
      <c r="G42" s="12" t="s">
        <v>92</v>
      </c>
      <c r="H42" s="12" t="s">
        <v>194</v>
      </c>
      <c r="I42" s="12" t="s">
        <v>252</v>
      </c>
      <c r="J42" s="12" t="s">
        <v>79</v>
      </c>
      <c r="K42" s="13" t="s">
        <v>253</v>
      </c>
    </row>
    <row r="43" spans="1:11" ht="68.099999999999994" customHeight="1">
      <c r="A43" s="11" t="s">
        <v>171</v>
      </c>
      <c r="B43" s="12" t="s">
        <v>254</v>
      </c>
      <c r="C43" s="12" t="s">
        <v>255</v>
      </c>
      <c r="D43" s="12" t="s">
        <v>17</v>
      </c>
      <c r="E43" s="12" t="s">
        <v>256</v>
      </c>
      <c r="F43" s="12" t="s">
        <v>257</v>
      </c>
      <c r="G43" s="12" t="s">
        <v>92</v>
      </c>
      <c r="H43" s="12" t="s">
        <v>258</v>
      </c>
      <c r="I43" s="12" t="s">
        <v>259</v>
      </c>
      <c r="J43" s="12" t="s">
        <v>79</v>
      </c>
      <c r="K43" s="13" t="s">
        <v>234</v>
      </c>
    </row>
    <row r="44" spans="1:11" ht="68.099999999999994" customHeight="1">
      <c r="A44" s="11" t="s">
        <v>171</v>
      </c>
      <c r="B44" s="12" t="s">
        <v>254</v>
      </c>
      <c r="C44" s="12" t="s">
        <v>260</v>
      </c>
      <c r="D44" s="12" t="s">
        <v>64</v>
      </c>
      <c r="E44" s="12" t="s">
        <v>261</v>
      </c>
      <c r="F44" s="12" t="s">
        <v>262</v>
      </c>
      <c r="G44" s="12" t="s">
        <v>107</v>
      </c>
      <c r="H44" s="12" t="s">
        <v>263</v>
      </c>
      <c r="I44" s="12" t="s">
        <v>264</v>
      </c>
      <c r="J44" s="12" t="s">
        <v>247</v>
      </c>
      <c r="K44" s="13" t="s">
        <v>265</v>
      </c>
    </row>
    <row r="45" spans="1:11" ht="68.099999999999994" customHeight="1">
      <c r="A45" s="11" t="s">
        <v>171</v>
      </c>
      <c r="B45" s="12" t="s">
        <v>254</v>
      </c>
      <c r="C45" s="12" t="s">
        <v>266</v>
      </c>
      <c r="D45" s="12" t="s">
        <v>166</v>
      </c>
      <c r="E45" s="12" t="s">
        <v>256</v>
      </c>
      <c r="F45" s="12" t="s">
        <v>167</v>
      </c>
      <c r="G45" s="12" t="s">
        <v>92</v>
      </c>
      <c r="H45" s="12" t="s">
        <v>267</v>
      </c>
      <c r="I45" s="12" t="s">
        <v>268</v>
      </c>
      <c r="J45" s="12" t="s">
        <v>269</v>
      </c>
      <c r="K45" s="13" t="s">
        <v>270</v>
      </c>
    </row>
    <row r="46" spans="1:11" ht="68.099999999999994" customHeight="1">
      <c r="A46" s="11" t="s">
        <v>171</v>
      </c>
      <c r="B46" s="12" t="s">
        <v>271</v>
      </c>
      <c r="C46" s="12" t="s">
        <v>272</v>
      </c>
      <c r="D46" s="12" t="s">
        <v>30</v>
      </c>
      <c r="E46" s="12" t="s">
        <v>192</v>
      </c>
      <c r="F46" s="12" t="s">
        <v>273</v>
      </c>
      <c r="G46" s="12" t="s">
        <v>92</v>
      </c>
      <c r="H46" s="12" t="s">
        <v>274</v>
      </c>
      <c r="I46" s="12" t="s">
        <v>275</v>
      </c>
      <c r="J46" s="12" t="s">
        <v>79</v>
      </c>
      <c r="K46" s="13" t="s">
        <v>276</v>
      </c>
    </row>
    <row r="47" spans="1:11" ht="68.099999999999994" customHeight="1">
      <c r="A47" s="11" t="s">
        <v>171</v>
      </c>
      <c r="B47" s="12" t="s">
        <v>277</v>
      </c>
      <c r="C47" s="12" t="s">
        <v>278</v>
      </c>
      <c r="D47" s="12" t="s">
        <v>30</v>
      </c>
      <c r="E47" s="12" t="s">
        <v>192</v>
      </c>
      <c r="F47" s="12" t="s">
        <v>279</v>
      </c>
      <c r="G47" s="12" t="s">
        <v>92</v>
      </c>
      <c r="H47" s="12" t="s">
        <v>280</v>
      </c>
      <c r="I47" s="12" t="s">
        <v>281</v>
      </c>
      <c r="J47" s="12" t="s">
        <v>79</v>
      </c>
      <c r="K47" s="13" t="s">
        <v>282</v>
      </c>
    </row>
    <row r="48" spans="1:11" ht="68.099999999999994" customHeight="1">
      <c r="A48" s="11" t="s">
        <v>171</v>
      </c>
      <c r="B48" s="12" t="s">
        <v>283</v>
      </c>
      <c r="C48" s="12" t="s">
        <v>284</v>
      </c>
      <c r="D48" s="12" t="s">
        <v>30</v>
      </c>
      <c r="E48" s="12" t="s">
        <v>192</v>
      </c>
      <c r="F48" s="12" t="s">
        <v>285</v>
      </c>
      <c r="G48" s="12" t="s">
        <v>92</v>
      </c>
      <c r="H48" s="12" t="s">
        <v>286</v>
      </c>
      <c r="I48" s="12" t="s">
        <v>287</v>
      </c>
      <c r="J48" s="12" t="s">
        <v>79</v>
      </c>
      <c r="K48" s="13" t="s">
        <v>288</v>
      </c>
    </row>
    <row r="49" spans="1:11" ht="68.099999999999994" customHeight="1">
      <c r="A49" s="11" t="s">
        <v>171</v>
      </c>
      <c r="B49" s="12" t="s">
        <v>289</v>
      </c>
      <c r="C49" s="12" t="s">
        <v>290</v>
      </c>
      <c r="D49" s="12" t="s">
        <v>17</v>
      </c>
      <c r="E49" s="12" t="s">
        <v>291</v>
      </c>
      <c r="F49" s="12" t="s">
        <v>292</v>
      </c>
      <c r="G49" s="12" t="s">
        <v>92</v>
      </c>
      <c r="H49" s="12" t="s">
        <v>293</v>
      </c>
      <c r="I49" s="12" t="s">
        <v>294</v>
      </c>
      <c r="J49" s="12" t="s">
        <v>79</v>
      </c>
      <c r="K49" s="13" t="s">
        <v>295</v>
      </c>
    </row>
    <row r="50" spans="1:11" ht="24" customHeight="1">
      <c r="A50" s="17" t="s">
        <v>296</v>
      </c>
      <c r="B50" s="18" t="s">
        <v>297</v>
      </c>
      <c r="C50" s="68" t="s">
        <v>298</v>
      </c>
      <c r="D50" s="68"/>
      <c r="E50" s="68"/>
      <c r="F50" s="68"/>
      <c r="G50" s="68"/>
      <c r="H50" s="68"/>
      <c r="I50" s="68"/>
      <c r="J50" s="68"/>
      <c r="K50" s="69"/>
    </row>
    <row r="51" spans="1:11" ht="68.099999999999994" customHeight="1">
      <c r="A51" s="11" t="s">
        <v>296</v>
      </c>
      <c r="B51" s="12" t="s">
        <v>299</v>
      </c>
      <c r="C51" s="12" t="s">
        <v>300</v>
      </c>
      <c r="D51" s="12" t="s">
        <v>17</v>
      </c>
      <c r="E51" s="12" t="s">
        <v>130</v>
      </c>
      <c r="F51" s="12" t="s">
        <v>301</v>
      </c>
      <c r="G51" s="12" t="s">
        <v>57</v>
      </c>
      <c r="H51" s="12" t="s">
        <v>302</v>
      </c>
      <c r="I51" s="12" t="s">
        <v>303</v>
      </c>
      <c r="J51" s="12" t="s">
        <v>79</v>
      </c>
      <c r="K51" s="13" t="s">
        <v>304</v>
      </c>
    </row>
    <row r="52" spans="1:11" ht="68.099999999999994" customHeight="1">
      <c r="A52" s="11" t="s">
        <v>296</v>
      </c>
      <c r="B52" s="12" t="s">
        <v>305</v>
      </c>
      <c r="C52" s="12" t="s">
        <v>306</v>
      </c>
      <c r="D52" s="12" t="s">
        <v>17</v>
      </c>
      <c r="E52" s="12" t="s">
        <v>256</v>
      </c>
      <c r="F52" s="12" t="s">
        <v>307</v>
      </c>
      <c r="G52" s="12" t="s">
        <v>57</v>
      </c>
      <c r="H52" s="12" t="s">
        <v>308</v>
      </c>
      <c r="I52" s="12" t="s">
        <v>309</v>
      </c>
      <c r="J52" s="12" t="s">
        <v>79</v>
      </c>
      <c r="K52" s="13" t="s">
        <v>310</v>
      </c>
    </row>
    <row r="53" spans="1:11" ht="68.099999999999994" customHeight="1">
      <c r="A53" s="11" t="s">
        <v>296</v>
      </c>
      <c r="B53" s="12" t="s">
        <v>311</v>
      </c>
      <c r="C53" s="12" t="s">
        <v>312</v>
      </c>
      <c r="D53" s="12" t="s">
        <v>17</v>
      </c>
      <c r="E53" s="12" t="s">
        <v>313</v>
      </c>
      <c r="F53" s="12" t="s">
        <v>91</v>
      </c>
      <c r="G53" s="12" t="s">
        <v>57</v>
      </c>
      <c r="H53" s="12" t="s">
        <v>125</v>
      </c>
      <c r="I53" s="12" t="s">
        <v>314</v>
      </c>
      <c r="J53" s="12" t="s">
        <v>79</v>
      </c>
      <c r="K53" s="13" t="s">
        <v>315</v>
      </c>
    </row>
    <row r="54" spans="1:11" ht="68.099999999999994" customHeight="1">
      <c r="A54" s="11" t="s">
        <v>296</v>
      </c>
      <c r="B54" s="12" t="s">
        <v>316</v>
      </c>
      <c r="C54" s="12" t="s">
        <v>317</v>
      </c>
      <c r="D54" s="12" t="s">
        <v>17</v>
      </c>
      <c r="E54" s="12" t="s">
        <v>192</v>
      </c>
      <c r="F54" s="12" t="s">
        <v>318</v>
      </c>
      <c r="G54" s="12" t="s">
        <v>57</v>
      </c>
      <c r="H54" s="12" t="s">
        <v>194</v>
      </c>
      <c r="I54" s="12" t="s">
        <v>319</v>
      </c>
      <c r="J54" s="12" t="s">
        <v>79</v>
      </c>
      <c r="K54" s="13" t="s">
        <v>320</v>
      </c>
    </row>
    <row r="55" spans="1:11" ht="68.099999999999994" customHeight="1">
      <c r="A55" s="11" t="s">
        <v>296</v>
      </c>
      <c r="B55" s="12" t="s">
        <v>316</v>
      </c>
      <c r="C55" s="12" t="s">
        <v>321</v>
      </c>
      <c r="D55" s="12" t="s">
        <v>322</v>
      </c>
      <c r="E55" s="12" t="s">
        <v>323</v>
      </c>
      <c r="F55" s="12" t="s">
        <v>318</v>
      </c>
      <c r="G55" s="12" t="s">
        <v>66</v>
      </c>
      <c r="H55" s="12" t="s">
        <v>324</v>
      </c>
      <c r="I55" s="12" t="s">
        <v>325</v>
      </c>
      <c r="J55" s="12" t="s">
        <v>86</v>
      </c>
      <c r="K55" s="13" t="s">
        <v>326</v>
      </c>
    </row>
    <row r="56" spans="1:11" ht="68.099999999999994" customHeight="1">
      <c r="A56" s="11" t="s">
        <v>296</v>
      </c>
      <c r="B56" s="12" t="s">
        <v>327</v>
      </c>
      <c r="C56" s="12" t="s">
        <v>328</v>
      </c>
      <c r="D56" s="12" t="s">
        <v>30</v>
      </c>
      <c r="E56" s="12" t="s">
        <v>192</v>
      </c>
      <c r="F56" s="12" t="s">
        <v>329</v>
      </c>
      <c r="G56" s="12" t="s">
        <v>57</v>
      </c>
      <c r="H56" s="12" t="s">
        <v>194</v>
      </c>
      <c r="I56" s="12" t="s">
        <v>330</v>
      </c>
      <c r="J56" s="12" t="s">
        <v>79</v>
      </c>
      <c r="K56" s="13" t="s">
        <v>331</v>
      </c>
    </row>
    <row r="57" spans="1:11" ht="68.099999999999994" customHeight="1">
      <c r="A57" s="11" t="s">
        <v>296</v>
      </c>
      <c r="B57" s="12" t="s">
        <v>316</v>
      </c>
      <c r="C57" s="12" t="s">
        <v>332</v>
      </c>
      <c r="D57" s="12" t="s">
        <v>166</v>
      </c>
      <c r="E57" s="12" t="s">
        <v>192</v>
      </c>
      <c r="F57" s="12" t="s">
        <v>167</v>
      </c>
      <c r="G57" s="12" t="s">
        <v>57</v>
      </c>
      <c r="H57" s="12" t="s">
        <v>333</v>
      </c>
      <c r="I57" s="12" t="s">
        <v>334</v>
      </c>
      <c r="J57" s="12" t="s">
        <v>79</v>
      </c>
      <c r="K57" s="13" t="s">
        <v>335</v>
      </c>
    </row>
    <row r="58" spans="1:11" ht="24" customHeight="1">
      <c r="A58" s="17" t="s">
        <v>336</v>
      </c>
      <c r="B58" s="18" t="s">
        <v>337</v>
      </c>
      <c r="C58" s="68" t="s">
        <v>338</v>
      </c>
      <c r="D58" s="68"/>
      <c r="E58" s="68"/>
      <c r="F58" s="68"/>
      <c r="G58" s="68"/>
      <c r="H58" s="68"/>
      <c r="I58" s="68"/>
      <c r="J58" s="68"/>
      <c r="K58" s="69"/>
    </row>
    <row r="59" spans="1:11" ht="68.099999999999994" customHeight="1">
      <c r="A59" s="11" t="s">
        <v>336</v>
      </c>
      <c r="B59" s="12" t="s">
        <v>336</v>
      </c>
      <c r="C59" s="12" t="s">
        <v>339</v>
      </c>
      <c r="D59" s="12" t="s">
        <v>17</v>
      </c>
      <c r="E59" s="12" t="s">
        <v>340</v>
      </c>
      <c r="F59" s="12" t="s">
        <v>91</v>
      </c>
      <c r="G59" s="12" t="s">
        <v>57</v>
      </c>
      <c r="H59" s="12" t="s">
        <v>125</v>
      </c>
      <c r="I59" s="12" t="s">
        <v>341</v>
      </c>
      <c r="J59" s="12" t="s">
        <v>79</v>
      </c>
      <c r="K59" s="13" t="s">
        <v>342</v>
      </c>
    </row>
    <row r="60" spans="1:11" ht="68.099999999999994" customHeight="1">
      <c r="A60" s="11" t="s">
        <v>336</v>
      </c>
      <c r="B60" s="12" t="s">
        <v>343</v>
      </c>
      <c r="C60" s="12" t="s">
        <v>344</v>
      </c>
      <c r="D60" s="12" t="s">
        <v>17</v>
      </c>
      <c r="E60" s="12" t="s">
        <v>345</v>
      </c>
      <c r="F60" s="12" t="s">
        <v>346</v>
      </c>
      <c r="G60" s="12" t="s">
        <v>57</v>
      </c>
      <c r="H60" s="12" t="s">
        <v>347</v>
      </c>
      <c r="I60" s="12" t="s">
        <v>348</v>
      </c>
      <c r="J60" s="12" t="s">
        <v>79</v>
      </c>
      <c r="K60" s="13" t="s">
        <v>349</v>
      </c>
    </row>
    <row r="61" spans="1:11" ht="68.099999999999994" customHeight="1">
      <c r="A61" s="11" t="s">
        <v>336</v>
      </c>
      <c r="B61" s="12" t="s">
        <v>336</v>
      </c>
      <c r="C61" s="12" t="s">
        <v>350</v>
      </c>
      <c r="D61" s="12" t="s">
        <v>30</v>
      </c>
      <c r="E61" s="12" t="s">
        <v>351</v>
      </c>
      <c r="F61" s="12" t="s">
        <v>352</v>
      </c>
      <c r="G61" s="12" t="s">
        <v>66</v>
      </c>
      <c r="H61" s="12" t="s">
        <v>353</v>
      </c>
      <c r="I61" s="12" t="s">
        <v>354</v>
      </c>
      <c r="J61" s="12" t="s">
        <v>79</v>
      </c>
      <c r="K61" s="13" t="s">
        <v>355</v>
      </c>
    </row>
    <row r="62" spans="1:11" ht="68.099999999999994" customHeight="1">
      <c r="A62" s="11" t="s">
        <v>336</v>
      </c>
      <c r="B62" s="12" t="s">
        <v>343</v>
      </c>
      <c r="C62" s="12" t="s">
        <v>356</v>
      </c>
      <c r="D62" s="12" t="s">
        <v>64</v>
      </c>
      <c r="E62" s="12" t="s">
        <v>357</v>
      </c>
      <c r="F62" s="12" t="s">
        <v>358</v>
      </c>
      <c r="G62" s="12" t="s">
        <v>66</v>
      </c>
      <c r="H62" s="12" t="s">
        <v>359</v>
      </c>
      <c r="I62" s="12" t="s">
        <v>360</v>
      </c>
      <c r="J62" s="12" t="s">
        <v>79</v>
      </c>
      <c r="K62" s="13" t="s">
        <v>361</v>
      </c>
    </row>
    <row r="63" spans="1:11" ht="68.099999999999994" customHeight="1">
      <c r="A63" s="11" t="s">
        <v>336</v>
      </c>
      <c r="B63" s="12" t="s">
        <v>362</v>
      </c>
      <c r="C63" s="12" t="s">
        <v>363</v>
      </c>
      <c r="D63" s="12" t="s">
        <v>64</v>
      </c>
      <c r="E63" s="12" t="s">
        <v>364</v>
      </c>
      <c r="F63" s="12" t="s">
        <v>365</v>
      </c>
      <c r="G63" s="12" t="s">
        <v>66</v>
      </c>
      <c r="H63" s="12" t="s">
        <v>366</v>
      </c>
      <c r="I63" s="12" t="s">
        <v>367</v>
      </c>
      <c r="J63" s="12" t="s">
        <v>79</v>
      </c>
      <c r="K63" s="13" t="s">
        <v>368</v>
      </c>
    </row>
    <row r="64" spans="1:11" ht="68.099999999999994" customHeight="1">
      <c r="A64" s="11" t="s">
        <v>336</v>
      </c>
      <c r="B64" s="12" t="s">
        <v>343</v>
      </c>
      <c r="C64" s="12" t="s">
        <v>369</v>
      </c>
      <c r="D64" s="12" t="s">
        <v>166</v>
      </c>
      <c r="E64" s="12" t="s">
        <v>345</v>
      </c>
      <c r="F64" s="12" t="s">
        <v>167</v>
      </c>
      <c r="G64" s="12" t="s">
        <v>57</v>
      </c>
      <c r="H64" s="12" t="s">
        <v>359</v>
      </c>
      <c r="I64" s="12" t="s">
        <v>370</v>
      </c>
      <c r="J64" s="12" t="s">
        <v>79</v>
      </c>
      <c r="K64" s="13" t="s">
        <v>371</v>
      </c>
    </row>
    <row r="65" spans="1:11" ht="68.099999999999994" customHeight="1">
      <c r="A65" s="11" t="s">
        <v>336</v>
      </c>
      <c r="B65" s="12" t="s">
        <v>372</v>
      </c>
      <c r="C65" s="12" t="s">
        <v>373</v>
      </c>
      <c r="D65" s="12" t="s">
        <v>17</v>
      </c>
      <c r="E65" s="12" t="s">
        <v>374</v>
      </c>
      <c r="F65" s="12" t="s">
        <v>375</v>
      </c>
      <c r="G65" s="12" t="s">
        <v>57</v>
      </c>
      <c r="H65" s="12" t="s">
        <v>125</v>
      </c>
      <c r="I65" s="12" t="s">
        <v>376</v>
      </c>
      <c r="J65" s="12" t="s">
        <v>79</v>
      </c>
      <c r="K65" s="13" t="s">
        <v>377</v>
      </c>
    </row>
    <row r="66" spans="1:11" ht="24" customHeight="1">
      <c r="A66" s="17" t="s">
        <v>378</v>
      </c>
      <c r="B66" s="18" t="s">
        <v>379</v>
      </c>
      <c r="C66" s="68" t="s">
        <v>380</v>
      </c>
      <c r="D66" s="68"/>
      <c r="E66" s="68"/>
      <c r="F66" s="68"/>
      <c r="G66" s="68"/>
      <c r="H66" s="68"/>
      <c r="I66" s="68"/>
      <c r="J66" s="68"/>
      <c r="K66" s="69"/>
    </row>
    <row r="67" spans="1:11" ht="68.099999999999994" customHeight="1">
      <c r="A67" s="11" t="s">
        <v>378</v>
      </c>
      <c r="B67" s="12" t="s">
        <v>378</v>
      </c>
      <c r="C67" s="12" t="s">
        <v>381</v>
      </c>
      <c r="D67" s="12" t="s">
        <v>17</v>
      </c>
      <c r="E67" s="12" t="s">
        <v>382</v>
      </c>
      <c r="F67" s="12" t="s">
        <v>91</v>
      </c>
      <c r="G67" s="12" t="s">
        <v>57</v>
      </c>
      <c r="H67" s="12" t="s">
        <v>125</v>
      </c>
      <c r="I67" s="12" t="s">
        <v>383</v>
      </c>
      <c r="J67" s="12" t="s">
        <v>79</v>
      </c>
      <c r="K67" s="13" t="s">
        <v>384</v>
      </c>
    </row>
    <row r="68" spans="1:11" ht="68.099999999999994" customHeight="1">
      <c r="A68" s="11" t="s">
        <v>378</v>
      </c>
      <c r="B68" s="12" t="s">
        <v>378</v>
      </c>
      <c r="C68" s="12" t="s">
        <v>385</v>
      </c>
      <c r="D68" s="12" t="s">
        <v>30</v>
      </c>
      <c r="E68" s="12" t="s">
        <v>386</v>
      </c>
      <c r="F68" s="12" t="s">
        <v>387</v>
      </c>
      <c r="G68" s="12" t="s">
        <v>66</v>
      </c>
      <c r="H68" s="12" t="s">
        <v>388</v>
      </c>
      <c r="I68" s="12" t="s">
        <v>389</v>
      </c>
      <c r="J68" s="12" t="s">
        <v>79</v>
      </c>
      <c r="K68" s="13" t="s">
        <v>390</v>
      </c>
    </row>
    <row r="69" spans="1:11" ht="68.099999999999994" customHeight="1">
      <c r="A69" s="11" t="s">
        <v>378</v>
      </c>
      <c r="B69" s="12" t="s">
        <v>391</v>
      </c>
      <c r="C69" s="12" t="s">
        <v>392</v>
      </c>
      <c r="D69" s="12" t="s">
        <v>17</v>
      </c>
      <c r="E69" s="12" t="s">
        <v>393</v>
      </c>
      <c r="F69" s="12" t="s">
        <v>394</v>
      </c>
      <c r="G69" s="12" t="s">
        <v>57</v>
      </c>
      <c r="H69" s="12" t="s">
        <v>359</v>
      </c>
      <c r="I69" s="12" t="s">
        <v>395</v>
      </c>
      <c r="J69" s="12" t="s">
        <v>79</v>
      </c>
      <c r="K69" s="13" t="s">
        <v>349</v>
      </c>
    </row>
    <row r="70" spans="1:11" ht="68.099999999999994" customHeight="1">
      <c r="A70" s="11" t="s">
        <v>378</v>
      </c>
      <c r="B70" s="12" t="s">
        <v>391</v>
      </c>
      <c r="C70" s="12" t="s">
        <v>396</v>
      </c>
      <c r="D70" s="12" t="s">
        <v>64</v>
      </c>
      <c r="E70" s="12" t="s">
        <v>397</v>
      </c>
      <c r="F70" s="12" t="s">
        <v>387</v>
      </c>
      <c r="G70" s="12" t="s">
        <v>66</v>
      </c>
      <c r="H70" s="12" t="s">
        <v>398</v>
      </c>
      <c r="I70" s="12" t="s">
        <v>399</v>
      </c>
      <c r="J70" s="12" t="s">
        <v>79</v>
      </c>
      <c r="K70" s="13" t="s">
        <v>400</v>
      </c>
    </row>
    <row r="71" spans="1:11" ht="68.099999999999994" customHeight="1">
      <c r="A71" s="11" t="s">
        <v>378</v>
      </c>
      <c r="B71" s="12" t="s">
        <v>391</v>
      </c>
      <c r="C71" s="12" t="s">
        <v>401</v>
      </c>
      <c r="D71" s="12" t="s">
        <v>166</v>
      </c>
      <c r="E71" s="12" t="s">
        <v>393</v>
      </c>
      <c r="F71" s="12" t="s">
        <v>167</v>
      </c>
      <c r="G71" s="12" t="s">
        <v>57</v>
      </c>
      <c r="H71" s="12" t="s">
        <v>359</v>
      </c>
      <c r="I71" s="12" t="s">
        <v>402</v>
      </c>
      <c r="J71" s="12" t="s">
        <v>79</v>
      </c>
      <c r="K71" s="13" t="s">
        <v>403</v>
      </c>
    </row>
    <row r="72" spans="1:11" ht="68.099999999999994" customHeight="1">
      <c r="A72" s="11" t="s">
        <v>378</v>
      </c>
      <c r="B72" s="12" t="s">
        <v>404</v>
      </c>
      <c r="C72" s="12" t="s">
        <v>405</v>
      </c>
      <c r="D72" s="12" t="s">
        <v>17</v>
      </c>
      <c r="E72" s="12" t="s">
        <v>406</v>
      </c>
      <c r="F72" s="12" t="s">
        <v>91</v>
      </c>
      <c r="G72" s="12" t="s">
        <v>57</v>
      </c>
      <c r="H72" s="12" t="s">
        <v>407</v>
      </c>
      <c r="I72" s="12" t="s">
        <v>408</v>
      </c>
      <c r="J72" s="12" t="s">
        <v>79</v>
      </c>
      <c r="K72" s="13" t="s">
        <v>409</v>
      </c>
    </row>
    <row r="73" spans="1:11" ht="68.099999999999994" customHeight="1">
      <c r="A73" s="11" t="s">
        <v>378</v>
      </c>
      <c r="B73" s="12" t="s">
        <v>404</v>
      </c>
      <c r="C73" s="12" t="s">
        <v>410</v>
      </c>
      <c r="D73" s="12" t="s">
        <v>30</v>
      </c>
      <c r="E73" s="12" t="s">
        <v>411</v>
      </c>
      <c r="F73" s="12" t="s">
        <v>412</v>
      </c>
      <c r="G73" s="12" t="s">
        <v>66</v>
      </c>
      <c r="H73" s="12" t="s">
        <v>413</v>
      </c>
      <c r="I73" s="12" t="s">
        <v>414</v>
      </c>
      <c r="J73" s="12" t="s">
        <v>79</v>
      </c>
      <c r="K73" s="13" t="s">
        <v>415</v>
      </c>
    </row>
    <row r="74" spans="1:11" ht="68.099999999999994" customHeight="1">
      <c r="A74" s="11" t="s">
        <v>378</v>
      </c>
      <c r="B74" s="12" t="s">
        <v>416</v>
      </c>
      <c r="C74" s="12" t="s">
        <v>417</v>
      </c>
      <c r="D74" s="12" t="s">
        <v>166</v>
      </c>
      <c r="E74" s="12" t="s">
        <v>418</v>
      </c>
      <c r="F74" s="12" t="s">
        <v>167</v>
      </c>
      <c r="G74" s="12" t="s">
        <v>57</v>
      </c>
      <c r="H74" s="12" t="s">
        <v>419</v>
      </c>
      <c r="I74" s="12" t="s">
        <v>420</v>
      </c>
      <c r="J74" s="12" t="s">
        <v>79</v>
      </c>
      <c r="K74" s="13" t="s">
        <v>421</v>
      </c>
    </row>
    <row r="75" spans="1:11" ht="24" customHeight="1">
      <c r="A75" s="17" t="s">
        <v>422</v>
      </c>
      <c r="B75" s="18" t="s">
        <v>423</v>
      </c>
      <c r="C75" s="68" t="s">
        <v>424</v>
      </c>
      <c r="D75" s="68"/>
      <c r="E75" s="68"/>
      <c r="F75" s="68"/>
      <c r="G75" s="68"/>
      <c r="H75" s="68"/>
      <c r="I75" s="68"/>
      <c r="J75" s="68"/>
      <c r="K75" s="69"/>
    </row>
    <row r="76" spans="1:11" ht="68.099999999999994" customHeight="1">
      <c r="A76" s="11" t="s">
        <v>422</v>
      </c>
      <c r="B76" s="12" t="s">
        <v>425</v>
      </c>
      <c r="C76" s="12" t="s">
        <v>426</v>
      </c>
      <c r="D76" s="12" t="s">
        <v>17</v>
      </c>
      <c r="E76" s="12" t="s">
        <v>427</v>
      </c>
      <c r="F76" s="12" t="s">
        <v>91</v>
      </c>
      <c r="G76" s="12" t="s">
        <v>57</v>
      </c>
      <c r="H76" s="12" t="s">
        <v>125</v>
      </c>
      <c r="I76" s="12" t="s">
        <v>428</v>
      </c>
      <c r="J76" s="12" t="s">
        <v>79</v>
      </c>
      <c r="K76" s="13" t="s">
        <v>429</v>
      </c>
    </row>
    <row r="77" spans="1:11" ht="68.099999999999994" customHeight="1">
      <c r="A77" s="11" t="s">
        <v>422</v>
      </c>
      <c r="B77" s="12" t="s">
        <v>430</v>
      </c>
      <c r="C77" s="12" t="s">
        <v>431</v>
      </c>
      <c r="D77" s="12" t="s">
        <v>17</v>
      </c>
      <c r="E77" s="12" t="s">
        <v>432</v>
      </c>
      <c r="F77" s="12" t="s">
        <v>433</v>
      </c>
      <c r="G77" s="12" t="s">
        <v>57</v>
      </c>
      <c r="H77" s="12" t="s">
        <v>434</v>
      </c>
      <c r="I77" s="12" t="s">
        <v>435</v>
      </c>
      <c r="J77" s="12" t="s">
        <v>79</v>
      </c>
      <c r="K77" s="13" t="s">
        <v>436</v>
      </c>
    </row>
    <row r="78" spans="1:11" ht="68.099999999999994" customHeight="1">
      <c r="A78" s="11" t="s">
        <v>422</v>
      </c>
      <c r="B78" s="12" t="s">
        <v>437</v>
      </c>
      <c r="C78" s="12" t="s">
        <v>438</v>
      </c>
      <c r="D78" s="12" t="s">
        <v>17</v>
      </c>
      <c r="E78" s="12" t="s">
        <v>439</v>
      </c>
      <c r="F78" s="12" t="s">
        <v>91</v>
      </c>
      <c r="G78" s="12" t="s">
        <v>92</v>
      </c>
      <c r="H78" s="12" t="s">
        <v>138</v>
      </c>
      <c r="I78" s="12" t="s">
        <v>440</v>
      </c>
      <c r="J78" s="12" t="s">
        <v>79</v>
      </c>
      <c r="K78" s="13" t="s">
        <v>253</v>
      </c>
    </row>
    <row r="79" spans="1:11" ht="68.099999999999994" customHeight="1">
      <c r="A79" s="11" t="s">
        <v>422</v>
      </c>
      <c r="B79" s="12" t="s">
        <v>441</v>
      </c>
      <c r="C79" s="12" t="s">
        <v>442</v>
      </c>
      <c r="D79" s="12" t="s">
        <v>17</v>
      </c>
      <c r="E79" s="12" t="s">
        <v>432</v>
      </c>
      <c r="F79" s="12" t="s">
        <v>443</v>
      </c>
      <c r="G79" s="12" t="s">
        <v>92</v>
      </c>
      <c r="H79" s="12" t="s">
        <v>444</v>
      </c>
      <c r="I79" s="12" t="s">
        <v>445</v>
      </c>
      <c r="J79" s="12" t="s">
        <v>79</v>
      </c>
      <c r="K79" s="13" t="s">
        <v>446</v>
      </c>
    </row>
    <row r="80" spans="1:11" ht="68.099999999999994" customHeight="1">
      <c r="A80" s="11" t="s">
        <v>422</v>
      </c>
      <c r="B80" s="12" t="s">
        <v>437</v>
      </c>
      <c r="C80" s="12" t="s">
        <v>447</v>
      </c>
      <c r="D80" s="12" t="s">
        <v>30</v>
      </c>
      <c r="E80" s="12" t="s">
        <v>448</v>
      </c>
      <c r="F80" s="12" t="s">
        <v>449</v>
      </c>
      <c r="G80" s="12" t="s">
        <v>107</v>
      </c>
      <c r="H80" s="12" t="s">
        <v>450</v>
      </c>
      <c r="I80" s="12" t="s">
        <v>451</v>
      </c>
      <c r="J80" s="12" t="s">
        <v>79</v>
      </c>
      <c r="K80" s="13" t="s">
        <v>452</v>
      </c>
    </row>
    <row r="81" spans="1:11" ht="68.099999999999994" customHeight="1">
      <c r="A81" s="11" t="s">
        <v>422</v>
      </c>
      <c r="B81" s="12" t="s">
        <v>441</v>
      </c>
      <c r="C81" s="12" t="s">
        <v>453</v>
      </c>
      <c r="D81" s="12" t="s">
        <v>64</v>
      </c>
      <c r="E81" s="12" t="s">
        <v>454</v>
      </c>
      <c r="F81" s="12" t="s">
        <v>449</v>
      </c>
      <c r="G81" s="12" t="s">
        <v>107</v>
      </c>
      <c r="H81" s="12" t="s">
        <v>455</v>
      </c>
      <c r="I81" s="12" t="s">
        <v>456</v>
      </c>
      <c r="J81" s="12" t="s">
        <v>79</v>
      </c>
      <c r="K81" s="13" t="s">
        <v>457</v>
      </c>
    </row>
    <row r="82" spans="1:11" ht="68.099999999999994" customHeight="1">
      <c r="A82" s="11" t="s">
        <v>422</v>
      </c>
      <c r="B82" s="12" t="s">
        <v>441</v>
      </c>
      <c r="C82" s="12" t="s">
        <v>458</v>
      </c>
      <c r="D82" s="12" t="s">
        <v>166</v>
      </c>
      <c r="E82" s="12" t="s">
        <v>432</v>
      </c>
      <c r="F82" s="12" t="s">
        <v>167</v>
      </c>
      <c r="G82" s="12" t="s">
        <v>92</v>
      </c>
      <c r="H82" s="12" t="s">
        <v>459</v>
      </c>
      <c r="I82" s="12" t="s">
        <v>460</v>
      </c>
      <c r="J82" s="12" t="s">
        <v>79</v>
      </c>
      <c r="K82" s="13" t="s">
        <v>213</v>
      </c>
    </row>
    <row r="83" spans="1:11" ht="68.099999999999994" customHeight="1">
      <c r="A83" s="11" t="s">
        <v>422</v>
      </c>
      <c r="B83" s="12" t="s">
        <v>461</v>
      </c>
      <c r="C83" s="12" t="s">
        <v>462</v>
      </c>
      <c r="D83" s="12" t="s">
        <v>30</v>
      </c>
      <c r="E83" s="12" t="s">
        <v>463</v>
      </c>
      <c r="F83" s="12" t="s">
        <v>464</v>
      </c>
      <c r="G83" s="12" t="s">
        <v>107</v>
      </c>
      <c r="H83" s="12" t="s">
        <v>465</v>
      </c>
      <c r="I83" s="12" t="s">
        <v>466</v>
      </c>
      <c r="J83" s="12" t="s">
        <v>86</v>
      </c>
      <c r="K83" s="13" t="s">
        <v>467</v>
      </c>
    </row>
    <row r="84" spans="1:11" ht="68.099999999999994" customHeight="1">
      <c r="A84" s="11" t="s">
        <v>422</v>
      </c>
      <c r="B84" s="12" t="s">
        <v>468</v>
      </c>
      <c r="C84" s="12" t="s">
        <v>469</v>
      </c>
      <c r="D84" s="12" t="s">
        <v>17</v>
      </c>
      <c r="E84" s="12" t="s">
        <v>470</v>
      </c>
      <c r="F84" s="12" t="s">
        <v>471</v>
      </c>
      <c r="G84" s="12" t="s">
        <v>92</v>
      </c>
      <c r="H84" s="12" t="s">
        <v>472</v>
      </c>
      <c r="I84" s="12" t="s">
        <v>473</v>
      </c>
      <c r="J84" s="12" t="s">
        <v>79</v>
      </c>
      <c r="K84" s="13" t="s">
        <v>474</v>
      </c>
    </row>
    <row r="85" spans="1:11" ht="68.099999999999994" customHeight="1">
      <c r="A85" s="11" t="s">
        <v>422</v>
      </c>
      <c r="B85" s="12" t="s">
        <v>468</v>
      </c>
      <c r="C85" s="12" t="s">
        <v>475</v>
      </c>
      <c r="D85" s="12" t="s">
        <v>64</v>
      </c>
      <c r="E85" s="12" t="s">
        <v>476</v>
      </c>
      <c r="F85" s="12" t="s">
        <v>464</v>
      </c>
      <c r="G85" s="12" t="s">
        <v>107</v>
      </c>
      <c r="H85" s="12" t="s">
        <v>477</v>
      </c>
      <c r="I85" s="12" t="s">
        <v>478</v>
      </c>
      <c r="J85" s="12" t="s">
        <v>86</v>
      </c>
      <c r="K85" s="13" t="s">
        <v>479</v>
      </c>
    </row>
    <row r="86" spans="1:11" ht="68.099999999999994" customHeight="1">
      <c r="A86" s="11" t="s">
        <v>422</v>
      </c>
      <c r="B86" s="12" t="s">
        <v>468</v>
      </c>
      <c r="C86" s="12" t="s">
        <v>480</v>
      </c>
      <c r="D86" s="12" t="s">
        <v>166</v>
      </c>
      <c r="E86" s="12" t="s">
        <v>470</v>
      </c>
      <c r="F86" s="12" t="s">
        <v>167</v>
      </c>
      <c r="G86" s="12" t="s">
        <v>92</v>
      </c>
      <c r="H86" s="12" t="s">
        <v>481</v>
      </c>
      <c r="I86" s="12" t="s">
        <v>482</v>
      </c>
      <c r="J86" s="12" t="s">
        <v>79</v>
      </c>
      <c r="K86" s="13" t="s">
        <v>483</v>
      </c>
    </row>
    <row r="87" spans="1:11" ht="68.099999999999994" customHeight="1">
      <c r="A87" s="11" t="s">
        <v>422</v>
      </c>
      <c r="B87" s="12" t="s">
        <v>484</v>
      </c>
      <c r="C87" s="12" t="s">
        <v>485</v>
      </c>
      <c r="D87" s="12" t="s">
        <v>30</v>
      </c>
      <c r="E87" s="12" t="s">
        <v>486</v>
      </c>
      <c r="F87" s="12" t="s">
        <v>487</v>
      </c>
      <c r="G87" s="12" t="s">
        <v>107</v>
      </c>
      <c r="H87" s="12" t="s">
        <v>488</v>
      </c>
      <c r="I87" s="12" t="s">
        <v>489</v>
      </c>
      <c r="J87" s="12" t="s">
        <v>79</v>
      </c>
      <c r="K87" s="13" t="s">
        <v>490</v>
      </c>
    </row>
    <row r="88" spans="1:11" ht="68.099999999999994" customHeight="1">
      <c r="A88" s="11" t="s">
        <v>422</v>
      </c>
      <c r="B88" s="12" t="s">
        <v>491</v>
      </c>
      <c r="C88" s="12" t="s">
        <v>492</v>
      </c>
      <c r="D88" s="12" t="s">
        <v>64</v>
      </c>
      <c r="E88" s="12" t="s">
        <v>493</v>
      </c>
      <c r="F88" s="12" t="s">
        <v>487</v>
      </c>
      <c r="G88" s="12" t="s">
        <v>107</v>
      </c>
      <c r="H88" s="12" t="s">
        <v>494</v>
      </c>
      <c r="I88" s="12" t="s">
        <v>495</v>
      </c>
      <c r="J88" s="12" t="s">
        <v>79</v>
      </c>
      <c r="K88" s="13" t="s">
        <v>496</v>
      </c>
    </row>
    <row r="89" spans="1:11" ht="68.099999999999994" customHeight="1">
      <c r="A89" s="11" t="s">
        <v>422</v>
      </c>
      <c r="B89" s="12" t="s">
        <v>491</v>
      </c>
      <c r="C89" s="12" t="s">
        <v>497</v>
      </c>
      <c r="D89" s="12" t="s">
        <v>166</v>
      </c>
      <c r="E89" s="12" t="s">
        <v>498</v>
      </c>
      <c r="F89" s="12" t="s">
        <v>167</v>
      </c>
      <c r="G89" s="12" t="s">
        <v>92</v>
      </c>
      <c r="H89" s="12" t="s">
        <v>499</v>
      </c>
      <c r="I89" s="12" t="s">
        <v>500</v>
      </c>
      <c r="J89" s="12" t="s">
        <v>79</v>
      </c>
      <c r="K89" s="13" t="s">
        <v>483</v>
      </c>
    </row>
    <row r="90" spans="1:11" ht="68.099999999999994" customHeight="1">
      <c r="A90" s="11" t="s">
        <v>422</v>
      </c>
      <c r="B90" s="12" t="s">
        <v>501</v>
      </c>
      <c r="C90" s="12" t="s">
        <v>502</v>
      </c>
      <c r="D90" s="12" t="s">
        <v>30</v>
      </c>
      <c r="E90" s="12" t="s">
        <v>432</v>
      </c>
      <c r="F90" s="12" t="s">
        <v>273</v>
      </c>
      <c r="G90" s="12" t="s">
        <v>92</v>
      </c>
      <c r="H90" s="12" t="s">
        <v>503</v>
      </c>
      <c r="I90" s="12" t="s">
        <v>504</v>
      </c>
      <c r="J90" s="12" t="s">
        <v>79</v>
      </c>
      <c r="K90" s="13" t="s">
        <v>505</v>
      </c>
    </row>
    <row r="91" spans="1:11" ht="68.099999999999994" customHeight="1">
      <c r="A91" s="11" t="s">
        <v>422</v>
      </c>
      <c r="B91" s="12" t="s">
        <v>506</v>
      </c>
      <c r="C91" s="12" t="s">
        <v>507</v>
      </c>
      <c r="D91" s="12" t="s">
        <v>30</v>
      </c>
      <c r="E91" s="12" t="s">
        <v>432</v>
      </c>
      <c r="F91" s="12" t="s">
        <v>285</v>
      </c>
      <c r="G91" s="12" t="s">
        <v>92</v>
      </c>
      <c r="H91" s="12" t="s">
        <v>280</v>
      </c>
      <c r="I91" s="12" t="s">
        <v>508</v>
      </c>
      <c r="J91" s="12" t="s">
        <v>79</v>
      </c>
      <c r="K91" s="13" t="s">
        <v>509</v>
      </c>
    </row>
    <row r="92" spans="1:11" ht="68.099999999999994" customHeight="1">
      <c r="A92" s="11" t="s">
        <v>422</v>
      </c>
      <c r="B92" s="12" t="s">
        <v>510</v>
      </c>
      <c r="C92" s="12" t="s">
        <v>511</v>
      </c>
      <c r="D92" s="12" t="s">
        <v>30</v>
      </c>
      <c r="E92" s="12" t="s">
        <v>432</v>
      </c>
      <c r="F92" s="12" t="s">
        <v>285</v>
      </c>
      <c r="G92" s="12" t="s">
        <v>92</v>
      </c>
      <c r="H92" s="12" t="s">
        <v>512</v>
      </c>
      <c r="I92" s="12" t="s">
        <v>513</v>
      </c>
      <c r="J92" s="12" t="s">
        <v>79</v>
      </c>
      <c r="K92" s="13" t="s">
        <v>514</v>
      </c>
    </row>
    <row r="93" spans="1:11" ht="24" customHeight="1">
      <c r="A93" s="17" t="s">
        <v>515</v>
      </c>
      <c r="B93" s="18" t="s">
        <v>516</v>
      </c>
      <c r="C93" s="68" t="s">
        <v>517</v>
      </c>
      <c r="D93" s="68"/>
      <c r="E93" s="68"/>
      <c r="F93" s="68"/>
      <c r="G93" s="68"/>
      <c r="H93" s="68"/>
      <c r="I93" s="68"/>
      <c r="J93" s="68"/>
      <c r="K93" s="69"/>
    </row>
    <row r="94" spans="1:11" ht="68.099999999999994" customHeight="1">
      <c r="A94" s="11" t="s">
        <v>515</v>
      </c>
      <c r="B94" s="12" t="s">
        <v>518</v>
      </c>
      <c r="C94" s="12" t="s">
        <v>519</v>
      </c>
      <c r="D94" s="12" t="s">
        <v>30</v>
      </c>
      <c r="E94" s="12" t="s">
        <v>520</v>
      </c>
      <c r="F94" s="12" t="s">
        <v>521</v>
      </c>
      <c r="G94" s="12" t="s">
        <v>66</v>
      </c>
      <c r="H94" s="12" t="s">
        <v>522</v>
      </c>
      <c r="I94" s="12" t="s">
        <v>523</v>
      </c>
      <c r="J94" s="12" t="s">
        <v>79</v>
      </c>
      <c r="K94" s="13" t="s">
        <v>524</v>
      </c>
    </row>
    <row r="95" spans="1:11" ht="68.099999999999994" customHeight="1">
      <c r="A95" s="11" t="s">
        <v>515</v>
      </c>
      <c r="B95" s="12" t="s">
        <v>525</v>
      </c>
      <c r="C95" s="12" t="s">
        <v>526</v>
      </c>
      <c r="D95" s="12" t="s">
        <v>17</v>
      </c>
      <c r="E95" s="12" t="s">
        <v>527</v>
      </c>
      <c r="F95" s="12" t="s">
        <v>528</v>
      </c>
      <c r="G95" s="12" t="s">
        <v>57</v>
      </c>
      <c r="H95" s="12" t="s">
        <v>359</v>
      </c>
      <c r="I95" s="12" t="s">
        <v>529</v>
      </c>
      <c r="J95" s="12" t="s">
        <v>79</v>
      </c>
      <c r="K95" s="13" t="s">
        <v>530</v>
      </c>
    </row>
    <row r="96" spans="1:11" ht="68.099999999999994" customHeight="1">
      <c r="A96" s="11" t="s">
        <v>515</v>
      </c>
      <c r="B96" s="12" t="s">
        <v>531</v>
      </c>
      <c r="C96" s="12" t="s">
        <v>532</v>
      </c>
      <c r="D96" s="12" t="s">
        <v>30</v>
      </c>
      <c r="E96" s="12" t="s">
        <v>533</v>
      </c>
      <c r="F96" s="12" t="s">
        <v>534</v>
      </c>
      <c r="G96" s="12" t="s">
        <v>66</v>
      </c>
      <c r="H96" s="12" t="s">
        <v>535</v>
      </c>
      <c r="I96" s="12" t="s">
        <v>536</v>
      </c>
      <c r="J96" s="12" t="s">
        <v>79</v>
      </c>
      <c r="K96" s="13" t="s">
        <v>537</v>
      </c>
    </row>
    <row r="97" spans="1:11" ht="68.099999999999994" customHeight="1">
      <c r="A97" s="11" t="s">
        <v>515</v>
      </c>
      <c r="B97" s="12" t="s">
        <v>538</v>
      </c>
      <c r="C97" s="12" t="s">
        <v>539</v>
      </c>
      <c r="D97" s="12" t="s">
        <v>30</v>
      </c>
      <c r="E97" s="12" t="s">
        <v>527</v>
      </c>
      <c r="F97" s="12" t="s">
        <v>540</v>
      </c>
      <c r="G97" s="12" t="s">
        <v>57</v>
      </c>
      <c r="H97" s="12" t="s">
        <v>541</v>
      </c>
      <c r="I97" s="12" t="s">
        <v>542</v>
      </c>
      <c r="J97" s="12" t="s">
        <v>79</v>
      </c>
      <c r="K97" s="13" t="s">
        <v>543</v>
      </c>
    </row>
    <row r="98" spans="1:11" ht="68.099999999999994" customHeight="1">
      <c r="A98" s="11" t="s">
        <v>515</v>
      </c>
      <c r="B98" s="12" t="s">
        <v>544</v>
      </c>
      <c r="C98" s="12" t="s">
        <v>545</v>
      </c>
      <c r="D98" s="12" t="s">
        <v>30</v>
      </c>
      <c r="E98" s="12" t="s">
        <v>527</v>
      </c>
      <c r="F98" s="12" t="s">
        <v>285</v>
      </c>
      <c r="G98" s="12" t="s">
        <v>57</v>
      </c>
      <c r="H98" s="12" t="s">
        <v>546</v>
      </c>
      <c r="I98" s="12" t="s">
        <v>547</v>
      </c>
      <c r="J98" s="12" t="s">
        <v>79</v>
      </c>
      <c r="K98" s="13" t="s">
        <v>548</v>
      </c>
    </row>
    <row r="99" spans="1:11" ht="68.099999999999994" customHeight="1">
      <c r="A99" s="11" t="s">
        <v>515</v>
      </c>
      <c r="B99" s="12" t="s">
        <v>549</v>
      </c>
      <c r="C99" s="12" t="s">
        <v>550</v>
      </c>
      <c r="D99" s="12" t="s">
        <v>17</v>
      </c>
      <c r="E99" s="12" t="s">
        <v>551</v>
      </c>
      <c r="F99" s="12" t="s">
        <v>91</v>
      </c>
      <c r="G99" s="12" t="s">
        <v>57</v>
      </c>
      <c r="H99" s="12" t="s">
        <v>552</v>
      </c>
      <c r="I99" s="12" t="s">
        <v>553</v>
      </c>
      <c r="J99" s="12" t="s">
        <v>79</v>
      </c>
      <c r="K99" s="13" t="s">
        <v>554</v>
      </c>
    </row>
    <row r="100" spans="1:11" ht="68.099999999999994" customHeight="1">
      <c r="A100" s="11" t="s">
        <v>515</v>
      </c>
      <c r="B100" s="12" t="s">
        <v>555</v>
      </c>
      <c r="C100" s="12" t="s">
        <v>556</v>
      </c>
      <c r="D100" s="12" t="s">
        <v>17</v>
      </c>
      <c r="E100" s="12" t="s">
        <v>527</v>
      </c>
      <c r="F100" s="12" t="s">
        <v>557</v>
      </c>
      <c r="G100" s="12" t="s">
        <v>57</v>
      </c>
      <c r="H100" s="12" t="s">
        <v>558</v>
      </c>
      <c r="I100" s="12" t="s">
        <v>559</v>
      </c>
      <c r="J100" s="12" t="s">
        <v>79</v>
      </c>
      <c r="K100" s="13" t="s">
        <v>560</v>
      </c>
    </row>
    <row r="101" spans="1:11" ht="68.099999999999994" customHeight="1">
      <c r="A101" s="11" t="s">
        <v>515</v>
      </c>
      <c r="B101" s="12" t="s">
        <v>561</v>
      </c>
      <c r="C101" s="12" t="s">
        <v>562</v>
      </c>
      <c r="D101" s="12" t="s">
        <v>17</v>
      </c>
      <c r="E101" s="12" t="s">
        <v>563</v>
      </c>
      <c r="F101" s="12" t="s">
        <v>564</v>
      </c>
      <c r="G101" s="12" t="s">
        <v>57</v>
      </c>
      <c r="H101" s="12" t="s">
        <v>125</v>
      </c>
      <c r="I101" s="12" t="s">
        <v>565</v>
      </c>
      <c r="J101" s="12" t="s">
        <v>79</v>
      </c>
      <c r="K101" s="13" t="s">
        <v>566</v>
      </c>
    </row>
    <row r="102" spans="1:11" ht="24" customHeight="1">
      <c r="A102" s="17" t="s">
        <v>567</v>
      </c>
      <c r="B102" s="18" t="s">
        <v>568</v>
      </c>
      <c r="C102" s="68" t="s">
        <v>569</v>
      </c>
      <c r="D102" s="68"/>
      <c r="E102" s="68"/>
      <c r="F102" s="68"/>
      <c r="G102" s="68"/>
      <c r="H102" s="68"/>
      <c r="I102" s="68"/>
      <c r="J102" s="68"/>
      <c r="K102" s="69"/>
    </row>
    <row r="103" spans="1:11" ht="68.099999999999994" customHeight="1">
      <c r="A103" s="11" t="s">
        <v>567</v>
      </c>
      <c r="B103" s="12" t="s">
        <v>570</v>
      </c>
      <c r="C103" s="12" t="s">
        <v>571</v>
      </c>
      <c r="D103" s="12" t="s">
        <v>17</v>
      </c>
      <c r="E103" s="12" t="s">
        <v>572</v>
      </c>
      <c r="F103" s="12" t="s">
        <v>573</v>
      </c>
      <c r="G103" s="12" t="s">
        <v>57</v>
      </c>
      <c r="H103" s="12" t="s">
        <v>574</v>
      </c>
      <c r="I103" s="12" t="s">
        <v>575</v>
      </c>
      <c r="J103" s="12" t="s">
        <v>79</v>
      </c>
      <c r="K103" s="13" t="s">
        <v>576</v>
      </c>
    </row>
    <row r="104" spans="1:11" ht="68.099999999999994" customHeight="1">
      <c r="A104" s="11" t="s">
        <v>567</v>
      </c>
      <c r="B104" s="12" t="s">
        <v>577</v>
      </c>
      <c r="C104" s="12" t="s">
        <v>578</v>
      </c>
      <c r="D104" s="12" t="s">
        <v>17</v>
      </c>
      <c r="E104" s="12" t="s">
        <v>579</v>
      </c>
      <c r="F104" s="12" t="s">
        <v>580</v>
      </c>
      <c r="G104" s="12" t="s">
        <v>57</v>
      </c>
      <c r="H104" s="12" t="s">
        <v>581</v>
      </c>
      <c r="I104" s="12" t="s">
        <v>582</v>
      </c>
      <c r="J104" s="12" t="s">
        <v>79</v>
      </c>
      <c r="K104" s="13" t="s">
        <v>583</v>
      </c>
    </row>
    <row r="105" spans="1:11" ht="68.099999999999994" customHeight="1">
      <c r="A105" s="11" t="s">
        <v>567</v>
      </c>
      <c r="B105" s="12" t="s">
        <v>584</v>
      </c>
      <c r="C105" s="12" t="s">
        <v>585</v>
      </c>
      <c r="D105" s="12" t="s">
        <v>17</v>
      </c>
      <c r="E105" s="12" t="s">
        <v>572</v>
      </c>
      <c r="F105" s="12" t="s">
        <v>586</v>
      </c>
      <c r="G105" s="12" t="s">
        <v>57</v>
      </c>
      <c r="H105" s="12" t="s">
        <v>574</v>
      </c>
      <c r="I105" s="12" t="s">
        <v>587</v>
      </c>
      <c r="J105" s="12" t="s">
        <v>79</v>
      </c>
      <c r="K105" s="13" t="s">
        <v>588</v>
      </c>
    </row>
    <row r="106" spans="1:11" ht="68.099999999999994" customHeight="1">
      <c r="A106" s="11" t="s">
        <v>567</v>
      </c>
      <c r="B106" s="12" t="s">
        <v>589</v>
      </c>
      <c r="C106" s="12" t="s">
        <v>590</v>
      </c>
      <c r="D106" s="12" t="s">
        <v>17</v>
      </c>
      <c r="E106" s="12" t="s">
        <v>591</v>
      </c>
      <c r="F106" s="12" t="s">
        <v>592</v>
      </c>
      <c r="G106" s="12" t="s">
        <v>57</v>
      </c>
      <c r="H106" s="12" t="s">
        <v>125</v>
      </c>
      <c r="I106" s="12" t="s">
        <v>593</v>
      </c>
      <c r="J106" s="12" t="s">
        <v>79</v>
      </c>
      <c r="K106" s="13" t="s">
        <v>594</v>
      </c>
    </row>
    <row r="107" spans="1:11" ht="68.099999999999994" customHeight="1">
      <c r="A107" s="11" t="s">
        <v>567</v>
      </c>
      <c r="B107" s="12" t="s">
        <v>595</v>
      </c>
      <c r="C107" s="12" t="s">
        <v>596</v>
      </c>
      <c r="D107" s="12" t="s">
        <v>17</v>
      </c>
      <c r="E107" s="12" t="s">
        <v>572</v>
      </c>
      <c r="F107" s="12" t="s">
        <v>597</v>
      </c>
      <c r="G107" s="12" t="s">
        <v>92</v>
      </c>
      <c r="H107" s="12" t="s">
        <v>598</v>
      </c>
      <c r="I107" s="12" t="s">
        <v>599</v>
      </c>
      <c r="J107" s="12" t="s">
        <v>79</v>
      </c>
      <c r="K107" s="13" t="s">
        <v>600</v>
      </c>
    </row>
    <row r="108" spans="1:11" ht="68.099999999999994" customHeight="1">
      <c r="A108" s="11" t="s">
        <v>567</v>
      </c>
      <c r="B108" s="12" t="s">
        <v>601</v>
      </c>
      <c r="C108" s="12" t="s">
        <v>602</v>
      </c>
      <c r="D108" s="12" t="s">
        <v>17</v>
      </c>
      <c r="E108" s="12" t="s">
        <v>603</v>
      </c>
      <c r="F108" s="12" t="s">
        <v>604</v>
      </c>
      <c r="G108" s="12" t="s">
        <v>92</v>
      </c>
      <c r="H108" s="12" t="s">
        <v>138</v>
      </c>
      <c r="I108" s="12" t="s">
        <v>605</v>
      </c>
      <c r="J108" s="12" t="s">
        <v>79</v>
      </c>
      <c r="K108" s="13" t="s">
        <v>606</v>
      </c>
    </row>
    <row r="109" spans="1:11" ht="68.099999999999994" customHeight="1">
      <c r="A109" s="14" t="s">
        <v>567</v>
      </c>
      <c r="B109" s="15" t="s">
        <v>607</v>
      </c>
      <c r="C109" s="15" t="s">
        <v>608</v>
      </c>
      <c r="D109" s="15" t="s">
        <v>17</v>
      </c>
      <c r="E109" s="15" t="s">
        <v>609</v>
      </c>
      <c r="F109" s="15" t="s">
        <v>610</v>
      </c>
      <c r="G109" s="15" t="s">
        <v>92</v>
      </c>
      <c r="H109" s="15" t="s">
        <v>138</v>
      </c>
      <c r="I109" s="15" t="s">
        <v>611</v>
      </c>
      <c r="J109" s="15" t="s">
        <v>79</v>
      </c>
      <c r="K109" s="16" t="s">
        <v>612</v>
      </c>
    </row>
  </sheetData>
  <mergeCells count="13">
    <mergeCell ref="C75:K75"/>
    <mergeCell ref="C93:K93"/>
    <mergeCell ref="C102:K102"/>
    <mergeCell ref="C20:K20"/>
    <mergeCell ref="C29:K29"/>
    <mergeCell ref="C50:K50"/>
    <mergeCell ref="C58:K58"/>
    <mergeCell ref="C66:K66"/>
    <mergeCell ref="A1:K1"/>
    <mergeCell ref="A2:K2"/>
    <mergeCell ref="C5:K5"/>
    <mergeCell ref="C7:K7"/>
    <mergeCell ref="C13:K13"/>
  </mergeCells>
  <conditionalFormatting sqref="D5:D109">
    <cfRule type="expression" dxfId="30" priority="1">
      <formula>D5="GET"</formula>
    </cfRule>
    <cfRule type="expression" dxfId="29" priority="2">
      <formula>D5="POST"</formula>
    </cfRule>
    <cfRule type="expression" dxfId="28" priority="3">
      <formula>D5="PATCH"</formula>
    </cfRule>
    <cfRule type="expression" dxfId="27" priority="4">
      <formula>D5="PUT"</formula>
    </cfRule>
    <cfRule type="expression" dxfId="26" priority="5">
      <formula>D5="DELETE"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7"/>
  <sheetViews>
    <sheetView workbookViewId="0"/>
  </sheetViews>
  <sheetFormatPr defaultRowHeight="14.25"/>
  <cols>
    <col min="1" max="1" width="11" customWidth="1"/>
    <col min="2" max="2" width="14" customWidth="1"/>
    <col min="3" max="3" width="9" customWidth="1"/>
    <col min="4" max="4" width="34" customWidth="1"/>
    <col min="5" max="5" width="36" customWidth="1"/>
    <col min="6" max="6" width="21" customWidth="1"/>
    <col min="7" max="7" width="39" customWidth="1"/>
    <col min="8" max="8" width="45" customWidth="1"/>
    <col min="9" max="9" width="42" customWidth="1"/>
    <col min="10" max="10" width="38" customWidth="1"/>
    <col min="11" max="12" width="44" customWidth="1"/>
    <col min="13" max="13" width="48" customWidth="1"/>
    <col min="14" max="14" width="50" customWidth="1"/>
  </cols>
  <sheetData>
    <row r="1" spans="1:14" ht="33.950000000000003" customHeight="1">
      <c r="A1" s="70" t="s">
        <v>613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24" customHeight="1">
      <c r="A2" s="71" t="s">
        <v>614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7.95" customHeight="1">
      <c r="A4" s="47" t="s">
        <v>615</v>
      </c>
      <c r="B4" s="48" t="s">
        <v>616</v>
      </c>
      <c r="C4" s="47" t="s">
        <v>617</v>
      </c>
      <c r="D4" s="48" t="s">
        <v>618</v>
      </c>
      <c r="E4" s="47" t="s">
        <v>619</v>
      </c>
      <c r="F4" s="48" t="s">
        <v>620</v>
      </c>
      <c r="G4" s="47" t="s">
        <v>621</v>
      </c>
      <c r="H4" s="48" t="s">
        <v>622</v>
      </c>
      <c r="I4" s="47" t="s">
        <v>623</v>
      </c>
      <c r="J4" s="48" t="s">
        <v>624</v>
      </c>
      <c r="K4" s="47" t="s">
        <v>625</v>
      </c>
      <c r="L4" s="48">
        <v>94</v>
      </c>
      <c r="M4" s="47" t="s">
        <v>626</v>
      </c>
      <c r="N4" s="48">
        <v>11</v>
      </c>
    </row>
    <row r="5" spans="1:14" ht="24" customHeight="1">
      <c r="A5" s="72" t="s">
        <v>627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1:14" ht="24" customHeight="1">
      <c r="A6" s="73" t="s">
        <v>628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4" ht="24" customHeight="1">
      <c r="A7" s="74" t="s">
        <v>629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ht="24" customHeight="1">
      <c r="A8" s="75" t="s">
        <v>630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spans="1:14" ht="30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</row>
    <row r="10" spans="1:14" ht="24" customHeight="1">
      <c r="A10" s="49" t="s">
        <v>631</v>
      </c>
      <c r="B10" s="49" t="s">
        <v>632</v>
      </c>
      <c r="C10" s="49" t="s">
        <v>633</v>
      </c>
      <c r="D10" s="49" t="s">
        <v>4</v>
      </c>
      <c r="E10" s="76" t="s">
        <v>634</v>
      </c>
      <c r="F10" s="76"/>
      <c r="G10" s="76"/>
      <c r="H10" s="76"/>
      <c r="I10" s="76"/>
      <c r="J10" s="76"/>
      <c r="K10" s="76"/>
      <c r="L10" s="76"/>
      <c r="M10" s="76"/>
      <c r="N10" s="76"/>
    </row>
    <row r="11" spans="1:14" ht="21.95" customHeight="1">
      <c r="A11" s="51" t="s">
        <v>635</v>
      </c>
      <c r="B11" s="52">
        <v>1</v>
      </c>
      <c r="C11" s="50" t="s">
        <v>13</v>
      </c>
      <c r="D11" s="50" t="s">
        <v>15</v>
      </c>
      <c r="E11" s="77" t="s">
        <v>636</v>
      </c>
      <c r="F11" s="77"/>
      <c r="G11" s="77"/>
      <c r="H11" s="77"/>
      <c r="I11" s="77"/>
      <c r="J11" s="77"/>
      <c r="K11" s="77"/>
      <c r="L11" s="77"/>
      <c r="M11" s="77"/>
      <c r="N11" s="77"/>
    </row>
    <row r="12" spans="1:14" ht="21.95" customHeight="1">
      <c r="A12" s="51" t="s">
        <v>637</v>
      </c>
      <c r="B12" s="52">
        <v>5</v>
      </c>
      <c r="C12" s="50" t="s">
        <v>25</v>
      </c>
      <c r="D12" s="50" t="s">
        <v>27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4" ht="21.95" customHeight="1">
      <c r="A13" s="51" t="s">
        <v>638</v>
      </c>
      <c r="B13" s="52">
        <v>6</v>
      </c>
      <c r="C13" s="50" t="s">
        <v>71</v>
      </c>
      <c r="D13" s="50" t="s">
        <v>73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</row>
    <row r="14" spans="1:14" ht="21.95" customHeight="1">
      <c r="A14" s="51" t="s">
        <v>639</v>
      </c>
      <c r="B14" s="52">
        <v>8</v>
      </c>
      <c r="C14" s="50" t="s">
        <v>118</v>
      </c>
      <c r="D14" s="50" t="s">
        <v>120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</row>
    <row r="15" spans="1:14" ht="21.95" customHeight="1">
      <c r="A15" s="51" t="s">
        <v>640</v>
      </c>
      <c r="B15" s="52">
        <v>20</v>
      </c>
      <c r="C15" s="50" t="s">
        <v>171</v>
      </c>
      <c r="D15" s="50" t="s">
        <v>173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</row>
    <row r="16" spans="1:14" ht="21.95" customHeight="1">
      <c r="A16" s="51" t="s">
        <v>641</v>
      </c>
      <c r="B16" s="52">
        <v>7</v>
      </c>
      <c r="C16" s="50" t="s">
        <v>296</v>
      </c>
      <c r="D16" s="50" t="s">
        <v>298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</row>
    <row r="17" spans="1:14" ht="21.95" customHeight="1">
      <c r="A17" s="51" t="s">
        <v>642</v>
      </c>
      <c r="B17" s="52">
        <v>7</v>
      </c>
      <c r="C17" s="50" t="s">
        <v>336</v>
      </c>
      <c r="D17" s="50" t="s">
        <v>338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</row>
    <row r="18" spans="1:14" ht="21.95" customHeight="1">
      <c r="A18" s="51" t="s">
        <v>643</v>
      </c>
      <c r="B18" s="52">
        <v>8</v>
      </c>
      <c r="C18" s="50" t="s">
        <v>378</v>
      </c>
      <c r="D18" s="50" t="s">
        <v>380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</row>
    <row r="19" spans="1:14" ht="21.95" customHeight="1">
      <c r="A19" s="51" t="s">
        <v>644</v>
      </c>
      <c r="B19" s="52">
        <v>17</v>
      </c>
      <c r="C19" s="50" t="s">
        <v>422</v>
      </c>
      <c r="D19" s="50" t="s">
        <v>424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</row>
    <row r="20" spans="1:14" ht="21.95" customHeight="1">
      <c r="A20" s="51" t="s">
        <v>645</v>
      </c>
      <c r="B20" s="52">
        <v>8</v>
      </c>
      <c r="C20" s="50" t="s">
        <v>515</v>
      </c>
      <c r="D20" s="50" t="s">
        <v>517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</row>
    <row r="21" spans="1:14" ht="21.95" customHeight="1">
      <c r="A21" s="51" t="s">
        <v>646</v>
      </c>
      <c r="B21" s="52">
        <v>7</v>
      </c>
      <c r="C21" s="50" t="s">
        <v>567</v>
      </c>
      <c r="D21" s="50" t="s">
        <v>569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</row>
    <row r="22" spans="1:14" ht="3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27.95" customHeight="1">
      <c r="A23" s="78" t="s">
        <v>647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</row>
    <row r="24" spans="1:14" ht="32.1" customHeight="1">
      <c r="A24" s="53" t="s">
        <v>648</v>
      </c>
      <c r="B24" s="53" t="s">
        <v>649</v>
      </c>
      <c r="C24" s="53" t="s">
        <v>5</v>
      </c>
      <c r="D24" s="53" t="s">
        <v>3</v>
      </c>
      <c r="E24" s="53" t="s">
        <v>650</v>
      </c>
      <c r="F24" s="53" t="s">
        <v>651</v>
      </c>
      <c r="G24" s="53" t="s">
        <v>652</v>
      </c>
      <c r="H24" s="53" t="s">
        <v>653</v>
      </c>
      <c r="I24" s="53" t="s">
        <v>654</v>
      </c>
      <c r="J24" s="53" t="s">
        <v>655</v>
      </c>
      <c r="K24" s="53" t="s">
        <v>656</v>
      </c>
      <c r="L24" s="53" t="s">
        <v>657</v>
      </c>
      <c r="M24" s="53" t="s">
        <v>658</v>
      </c>
      <c r="N24" s="53" t="s">
        <v>659</v>
      </c>
    </row>
    <row r="25" spans="1:14" ht="104.1" customHeight="1">
      <c r="A25" s="54" t="s">
        <v>660</v>
      </c>
      <c r="B25" s="59" t="s">
        <v>635</v>
      </c>
      <c r="C25" s="55" t="s">
        <v>17</v>
      </c>
      <c r="D25" s="56" t="s">
        <v>661</v>
      </c>
      <c r="E25" s="57" t="s">
        <v>662</v>
      </c>
      <c r="F25" s="57" t="s">
        <v>663</v>
      </c>
      <c r="G25" s="57" t="s">
        <v>664</v>
      </c>
      <c r="H25" s="57" t="s">
        <v>665</v>
      </c>
      <c r="I25" s="58" t="s">
        <v>666</v>
      </c>
      <c r="J25" s="58" t="s">
        <v>667</v>
      </c>
      <c r="K25" s="58" t="s">
        <v>668</v>
      </c>
      <c r="L25" s="57" t="s">
        <v>669</v>
      </c>
      <c r="M25" s="57" t="s">
        <v>670</v>
      </c>
      <c r="N25" s="57" t="s">
        <v>671</v>
      </c>
    </row>
    <row r="26" spans="1:14" ht="168.95" customHeight="1">
      <c r="A26" s="60" t="s">
        <v>672</v>
      </c>
      <c r="B26" s="65" t="s">
        <v>637</v>
      </c>
      <c r="C26" s="61" t="s">
        <v>30</v>
      </c>
      <c r="D26" s="62" t="s">
        <v>673</v>
      </c>
      <c r="E26" s="63" t="s">
        <v>674</v>
      </c>
      <c r="F26" s="63" t="s">
        <v>663</v>
      </c>
      <c r="G26" s="63" t="s">
        <v>664</v>
      </c>
      <c r="H26" s="63" t="s">
        <v>675</v>
      </c>
      <c r="I26" s="64" t="s">
        <v>676</v>
      </c>
      <c r="J26" s="64" t="s">
        <v>677</v>
      </c>
      <c r="K26" s="64" t="s">
        <v>678</v>
      </c>
      <c r="L26" s="63" t="s">
        <v>679</v>
      </c>
      <c r="M26" s="63" t="s">
        <v>680</v>
      </c>
      <c r="N26" s="63" t="s">
        <v>681</v>
      </c>
    </row>
    <row r="27" spans="1:14" ht="168.95" customHeight="1">
      <c r="A27" s="60" t="s">
        <v>682</v>
      </c>
      <c r="B27" s="65" t="s">
        <v>637</v>
      </c>
      <c r="C27" s="61" t="s">
        <v>30</v>
      </c>
      <c r="D27" s="62" t="s">
        <v>683</v>
      </c>
      <c r="E27" s="63" t="s">
        <v>684</v>
      </c>
      <c r="F27" s="63" t="s">
        <v>663</v>
      </c>
      <c r="G27" s="63" t="s">
        <v>664</v>
      </c>
      <c r="H27" s="63" t="s">
        <v>685</v>
      </c>
      <c r="I27" s="64" t="s">
        <v>686</v>
      </c>
      <c r="J27" s="64" t="s">
        <v>687</v>
      </c>
      <c r="K27" s="64" t="s">
        <v>678</v>
      </c>
      <c r="L27" s="63" t="s">
        <v>688</v>
      </c>
      <c r="M27" s="63" t="s">
        <v>689</v>
      </c>
      <c r="N27" s="63" t="s">
        <v>690</v>
      </c>
    </row>
    <row r="28" spans="1:14" ht="92.1" customHeight="1">
      <c r="A28" s="60" t="s">
        <v>691</v>
      </c>
      <c r="B28" s="65" t="s">
        <v>637</v>
      </c>
      <c r="C28" s="61" t="s">
        <v>30</v>
      </c>
      <c r="D28" s="62" t="s">
        <v>692</v>
      </c>
      <c r="E28" s="63" t="s">
        <v>693</v>
      </c>
      <c r="F28" s="63" t="s">
        <v>694</v>
      </c>
      <c r="G28" s="63" t="s">
        <v>695</v>
      </c>
      <c r="H28" s="63" t="s">
        <v>665</v>
      </c>
      <c r="I28" s="64" t="s">
        <v>666</v>
      </c>
      <c r="J28" s="64" t="s">
        <v>696</v>
      </c>
      <c r="K28" s="64" t="s">
        <v>697</v>
      </c>
      <c r="L28" s="63" t="s">
        <v>698</v>
      </c>
      <c r="M28" s="63" t="s">
        <v>699</v>
      </c>
      <c r="N28" s="63" t="s">
        <v>700</v>
      </c>
    </row>
    <row r="29" spans="1:14" ht="92.1" customHeight="1">
      <c r="A29" s="60" t="s">
        <v>701</v>
      </c>
      <c r="B29" s="65" t="s">
        <v>637</v>
      </c>
      <c r="C29" s="61" t="s">
        <v>30</v>
      </c>
      <c r="D29" s="62" t="s">
        <v>702</v>
      </c>
      <c r="E29" s="63" t="s">
        <v>703</v>
      </c>
      <c r="F29" s="63" t="s">
        <v>704</v>
      </c>
      <c r="G29" s="63" t="s">
        <v>664</v>
      </c>
      <c r="H29" s="63" t="s">
        <v>665</v>
      </c>
      <c r="I29" s="64" t="s">
        <v>666</v>
      </c>
      <c r="J29" s="64" t="s">
        <v>705</v>
      </c>
      <c r="K29" s="64" t="s">
        <v>706</v>
      </c>
      <c r="L29" s="63" t="s">
        <v>707</v>
      </c>
      <c r="M29" s="63" t="s">
        <v>708</v>
      </c>
      <c r="N29" s="63" t="s">
        <v>709</v>
      </c>
    </row>
    <row r="30" spans="1:14" ht="92.1" customHeight="1">
      <c r="A30" s="60" t="s">
        <v>710</v>
      </c>
      <c r="B30" s="65" t="s">
        <v>637</v>
      </c>
      <c r="C30" s="61" t="s">
        <v>64</v>
      </c>
      <c r="D30" s="62" t="s">
        <v>711</v>
      </c>
      <c r="E30" s="63" t="s">
        <v>712</v>
      </c>
      <c r="F30" s="63" t="s">
        <v>704</v>
      </c>
      <c r="G30" s="63" t="s">
        <v>664</v>
      </c>
      <c r="H30" s="63" t="s">
        <v>713</v>
      </c>
      <c r="I30" s="64" t="s">
        <v>714</v>
      </c>
      <c r="J30" s="64" t="s">
        <v>705</v>
      </c>
      <c r="K30" s="64" t="s">
        <v>706</v>
      </c>
      <c r="L30" s="63" t="s">
        <v>715</v>
      </c>
      <c r="M30" s="63" t="s">
        <v>716</v>
      </c>
      <c r="N30" s="63" t="s">
        <v>717</v>
      </c>
    </row>
    <row r="31" spans="1:14" ht="117" customHeight="1">
      <c r="A31" s="54" t="s">
        <v>718</v>
      </c>
      <c r="B31" s="59" t="s">
        <v>638</v>
      </c>
      <c r="C31" s="55" t="s">
        <v>17</v>
      </c>
      <c r="D31" s="56" t="s">
        <v>719</v>
      </c>
      <c r="E31" s="57" t="s">
        <v>720</v>
      </c>
      <c r="F31" s="57" t="s">
        <v>704</v>
      </c>
      <c r="G31" s="57" t="s">
        <v>664</v>
      </c>
      <c r="H31" s="57" t="s">
        <v>665</v>
      </c>
      <c r="I31" s="58" t="s">
        <v>666</v>
      </c>
      <c r="J31" s="58" t="s">
        <v>721</v>
      </c>
      <c r="K31" s="58" t="s">
        <v>722</v>
      </c>
      <c r="L31" s="57" t="s">
        <v>723</v>
      </c>
      <c r="M31" s="57" t="s">
        <v>724</v>
      </c>
      <c r="N31" s="57" t="s">
        <v>725</v>
      </c>
    </row>
    <row r="32" spans="1:14" ht="207.95" customHeight="1">
      <c r="A32" s="54" t="s">
        <v>726</v>
      </c>
      <c r="B32" s="59" t="s">
        <v>638</v>
      </c>
      <c r="C32" s="55" t="s">
        <v>64</v>
      </c>
      <c r="D32" s="56" t="s">
        <v>719</v>
      </c>
      <c r="E32" s="57" t="s">
        <v>727</v>
      </c>
      <c r="F32" s="57" t="s">
        <v>704</v>
      </c>
      <c r="G32" s="57" t="s">
        <v>664</v>
      </c>
      <c r="H32" s="57" t="s">
        <v>728</v>
      </c>
      <c r="I32" s="58" t="s">
        <v>729</v>
      </c>
      <c r="J32" s="58" t="s">
        <v>730</v>
      </c>
      <c r="K32" s="58" t="s">
        <v>731</v>
      </c>
      <c r="L32" s="57" t="s">
        <v>732</v>
      </c>
      <c r="M32" s="57" t="s">
        <v>733</v>
      </c>
      <c r="N32" s="57" t="s">
        <v>734</v>
      </c>
    </row>
    <row r="33" spans="1:14" ht="156" customHeight="1">
      <c r="A33" s="54" t="s">
        <v>735</v>
      </c>
      <c r="B33" s="59" t="s">
        <v>638</v>
      </c>
      <c r="C33" s="55" t="s">
        <v>17</v>
      </c>
      <c r="D33" s="56" t="s">
        <v>736</v>
      </c>
      <c r="E33" s="57" t="s">
        <v>737</v>
      </c>
      <c r="F33" s="57" t="s">
        <v>738</v>
      </c>
      <c r="G33" s="57" t="s">
        <v>739</v>
      </c>
      <c r="H33" s="57" t="s">
        <v>665</v>
      </c>
      <c r="I33" s="58" t="s">
        <v>666</v>
      </c>
      <c r="J33" s="58" t="s">
        <v>740</v>
      </c>
      <c r="K33" s="58" t="s">
        <v>741</v>
      </c>
      <c r="L33" s="57" t="s">
        <v>742</v>
      </c>
      <c r="M33" s="57" t="s">
        <v>743</v>
      </c>
      <c r="N33" s="57" t="s">
        <v>744</v>
      </c>
    </row>
    <row r="34" spans="1:14" ht="207.95" customHeight="1">
      <c r="A34" s="54" t="s">
        <v>745</v>
      </c>
      <c r="B34" s="59" t="s">
        <v>638</v>
      </c>
      <c r="C34" s="55" t="s">
        <v>17</v>
      </c>
      <c r="D34" s="56" t="s">
        <v>746</v>
      </c>
      <c r="E34" s="57" t="s">
        <v>747</v>
      </c>
      <c r="F34" s="57" t="s">
        <v>738</v>
      </c>
      <c r="G34" s="57" t="s">
        <v>748</v>
      </c>
      <c r="H34" s="57" t="s">
        <v>665</v>
      </c>
      <c r="I34" s="58" t="s">
        <v>666</v>
      </c>
      <c r="J34" s="58" t="s">
        <v>749</v>
      </c>
      <c r="K34" s="58" t="s">
        <v>731</v>
      </c>
      <c r="L34" s="57" t="s">
        <v>750</v>
      </c>
      <c r="M34" s="57" t="s">
        <v>751</v>
      </c>
      <c r="N34" s="57" t="s">
        <v>752</v>
      </c>
    </row>
    <row r="35" spans="1:14" ht="117" customHeight="1">
      <c r="A35" s="54" t="s">
        <v>753</v>
      </c>
      <c r="B35" s="59" t="s">
        <v>638</v>
      </c>
      <c r="C35" s="55" t="s">
        <v>64</v>
      </c>
      <c r="D35" s="56" t="s">
        <v>754</v>
      </c>
      <c r="E35" s="57" t="s">
        <v>755</v>
      </c>
      <c r="F35" s="57" t="s">
        <v>738</v>
      </c>
      <c r="G35" s="57" t="s">
        <v>748</v>
      </c>
      <c r="H35" s="57" t="s">
        <v>756</v>
      </c>
      <c r="I35" s="58" t="s">
        <v>757</v>
      </c>
      <c r="J35" s="58" t="s">
        <v>758</v>
      </c>
      <c r="K35" s="58" t="s">
        <v>759</v>
      </c>
      <c r="L35" s="57" t="s">
        <v>760</v>
      </c>
      <c r="M35" s="57" t="s">
        <v>761</v>
      </c>
      <c r="N35" s="57" t="s">
        <v>762</v>
      </c>
    </row>
    <row r="36" spans="1:14" ht="117" customHeight="1">
      <c r="A36" s="54" t="s">
        <v>763</v>
      </c>
      <c r="B36" s="59" t="s">
        <v>638</v>
      </c>
      <c r="C36" s="55" t="s">
        <v>64</v>
      </c>
      <c r="D36" s="56" t="s">
        <v>764</v>
      </c>
      <c r="E36" s="57" t="s">
        <v>765</v>
      </c>
      <c r="F36" s="57" t="s">
        <v>738</v>
      </c>
      <c r="G36" s="57" t="s">
        <v>748</v>
      </c>
      <c r="H36" s="57" t="s">
        <v>766</v>
      </c>
      <c r="I36" s="58" t="s">
        <v>767</v>
      </c>
      <c r="J36" s="58" t="s">
        <v>768</v>
      </c>
      <c r="K36" s="58" t="s">
        <v>769</v>
      </c>
      <c r="L36" s="57" t="s">
        <v>770</v>
      </c>
      <c r="M36" s="57" t="s">
        <v>761</v>
      </c>
      <c r="N36" s="57" t="s">
        <v>771</v>
      </c>
    </row>
    <row r="37" spans="1:14" ht="92.1" customHeight="1">
      <c r="A37" s="60" t="s">
        <v>772</v>
      </c>
      <c r="B37" s="65" t="s">
        <v>639</v>
      </c>
      <c r="C37" s="61" t="s">
        <v>17</v>
      </c>
      <c r="D37" s="62" t="s">
        <v>773</v>
      </c>
      <c r="E37" s="63" t="s">
        <v>774</v>
      </c>
      <c r="F37" s="63" t="s">
        <v>663</v>
      </c>
      <c r="G37" s="63" t="s">
        <v>775</v>
      </c>
      <c r="H37" s="63" t="s">
        <v>665</v>
      </c>
      <c r="I37" s="64" t="s">
        <v>666</v>
      </c>
      <c r="J37" s="64" t="s">
        <v>776</v>
      </c>
      <c r="K37" s="64" t="s">
        <v>777</v>
      </c>
      <c r="L37" s="63" t="s">
        <v>778</v>
      </c>
      <c r="M37" s="63" t="s">
        <v>779</v>
      </c>
      <c r="N37" s="63" t="s">
        <v>780</v>
      </c>
    </row>
    <row r="38" spans="1:14" ht="143.1" customHeight="1">
      <c r="A38" s="60" t="s">
        <v>781</v>
      </c>
      <c r="B38" s="65" t="s">
        <v>639</v>
      </c>
      <c r="C38" s="61" t="s">
        <v>17</v>
      </c>
      <c r="D38" s="62" t="s">
        <v>782</v>
      </c>
      <c r="E38" s="63" t="s">
        <v>783</v>
      </c>
      <c r="F38" s="63" t="s">
        <v>663</v>
      </c>
      <c r="G38" s="63" t="s">
        <v>784</v>
      </c>
      <c r="H38" s="63" t="s">
        <v>665</v>
      </c>
      <c r="I38" s="64" t="s">
        <v>666</v>
      </c>
      <c r="J38" s="64" t="s">
        <v>785</v>
      </c>
      <c r="K38" s="64" t="s">
        <v>786</v>
      </c>
      <c r="L38" s="63" t="s">
        <v>787</v>
      </c>
      <c r="M38" s="63" t="s">
        <v>779</v>
      </c>
      <c r="N38" s="63" t="s">
        <v>788</v>
      </c>
    </row>
    <row r="39" spans="1:14" ht="156" customHeight="1">
      <c r="A39" s="60" t="s">
        <v>789</v>
      </c>
      <c r="B39" s="65" t="s">
        <v>639</v>
      </c>
      <c r="C39" s="61" t="s">
        <v>17</v>
      </c>
      <c r="D39" s="62" t="s">
        <v>790</v>
      </c>
      <c r="E39" s="63" t="s">
        <v>791</v>
      </c>
      <c r="F39" s="63" t="s">
        <v>738</v>
      </c>
      <c r="G39" s="63" t="s">
        <v>792</v>
      </c>
      <c r="H39" s="63" t="s">
        <v>665</v>
      </c>
      <c r="I39" s="64" t="s">
        <v>666</v>
      </c>
      <c r="J39" s="64" t="s">
        <v>740</v>
      </c>
      <c r="K39" s="64" t="s">
        <v>741</v>
      </c>
      <c r="L39" s="63" t="s">
        <v>793</v>
      </c>
      <c r="M39" s="63" t="s">
        <v>794</v>
      </c>
      <c r="N39" s="63" t="s">
        <v>795</v>
      </c>
    </row>
    <row r="40" spans="1:14" ht="260.10000000000002" customHeight="1">
      <c r="A40" s="60" t="s">
        <v>796</v>
      </c>
      <c r="B40" s="65" t="s">
        <v>639</v>
      </c>
      <c r="C40" s="61" t="s">
        <v>17</v>
      </c>
      <c r="D40" s="62" t="s">
        <v>797</v>
      </c>
      <c r="E40" s="63" t="s">
        <v>798</v>
      </c>
      <c r="F40" s="63" t="s">
        <v>738</v>
      </c>
      <c r="G40" s="63" t="s">
        <v>799</v>
      </c>
      <c r="H40" s="63" t="s">
        <v>665</v>
      </c>
      <c r="I40" s="64" t="s">
        <v>666</v>
      </c>
      <c r="J40" s="64" t="s">
        <v>800</v>
      </c>
      <c r="K40" s="64" t="s">
        <v>801</v>
      </c>
      <c r="L40" s="63" t="s">
        <v>802</v>
      </c>
      <c r="M40" s="63" t="s">
        <v>803</v>
      </c>
      <c r="N40" s="63" t="s">
        <v>804</v>
      </c>
    </row>
    <row r="41" spans="1:14" ht="143.1" customHeight="1">
      <c r="A41" s="60" t="s">
        <v>805</v>
      </c>
      <c r="B41" s="65" t="s">
        <v>639</v>
      </c>
      <c r="C41" s="61" t="s">
        <v>30</v>
      </c>
      <c r="D41" s="62" t="s">
        <v>790</v>
      </c>
      <c r="E41" s="63" t="s">
        <v>806</v>
      </c>
      <c r="F41" s="63" t="s">
        <v>738</v>
      </c>
      <c r="G41" s="63" t="s">
        <v>664</v>
      </c>
      <c r="H41" s="63" t="s">
        <v>807</v>
      </c>
      <c r="I41" s="64" t="s">
        <v>808</v>
      </c>
      <c r="J41" s="64" t="s">
        <v>809</v>
      </c>
      <c r="K41" s="64" t="s">
        <v>786</v>
      </c>
      <c r="L41" s="63" t="s">
        <v>810</v>
      </c>
      <c r="M41" s="63" t="s">
        <v>811</v>
      </c>
      <c r="N41" s="63" t="s">
        <v>812</v>
      </c>
    </row>
    <row r="42" spans="1:14" ht="143.1" customHeight="1">
      <c r="A42" s="60" t="s">
        <v>813</v>
      </c>
      <c r="B42" s="65" t="s">
        <v>639</v>
      </c>
      <c r="C42" s="61" t="s">
        <v>64</v>
      </c>
      <c r="D42" s="62" t="s">
        <v>797</v>
      </c>
      <c r="E42" s="63" t="s">
        <v>814</v>
      </c>
      <c r="F42" s="63" t="s">
        <v>738</v>
      </c>
      <c r="G42" s="63" t="s">
        <v>799</v>
      </c>
      <c r="H42" s="63" t="s">
        <v>815</v>
      </c>
      <c r="I42" s="64" t="s">
        <v>816</v>
      </c>
      <c r="J42" s="64" t="s">
        <v>785</v>
      </c>
      <c r="K42" s="64" t="s">
        <v>786</v>
      </c>
      <c r="L42" s="63" t="s">
        <v>817</v>
      </c>
      <c r="M42" s="63" t="s">
        <v>811</v>
      </c>
      <c r="N42" s="63" t="s">
        <v>818</v>
      </c>
    </row>
    <row r="43" spans="1:14" ht="104.1" customHeight="1">
      <c r="A43" s="60" t="s">
        <v>819</v>
      </c>
      <c r="B43" s="65" t="s">
        <v>639</v>
      </c>
      <c r="C43" s="61" t="s">
        <v>64</v>
      </c>
      <c r="D43" s="62" t="s">
        <v>820</v>
      </c>
      <c r="E43" s="63" t="s">
        <v>821</v>
      </c>
      <c r="F43" s="63" t="s">
        <v>738</v>
      </c>
      <c r="G43" s="63" t="s">
        <v>799</v>
      </c>
      <c r="H43" s="63" t="s">
        <v>822</v>
      </c>
      <c r="I43" s="64" t="s">
        <v>823</v>
      </c>
      <c r="J43" s="64" t="s">
        <v>824</v>
      </c>
      <c r="K43" s="64" t="s">
        <v>825</v>
      </c>
      <c r="L43" s="63" t="s">
        <v>826</v>
      </c>
      <c r="M43" s="63" t="s">
        <v>827</v>
      </c>
      <c r="N43" s="63" t="s">
        <v>828</v>
      </c>
    </row>
    <row r="44" spans="1:14" ht="92.1" customHeight="1">
      <c r="A44" s="60" t="s">
        <v>829</v>
      </c>
      <c r="B44" s="65" t="s">
        <v>639</v>
      </c>
      <c r="C44" s="61" t="s">
        <v>166</v>
      </c>
      <c r="D44" s="62" t="s">
        <v>797</v>
      </c>
      <c r="E44" s="63" t="s">
        <v>830</v>
      </c>
      <c r="F44" s="63" t="s">
        <v>738</v>
      </c>
      <c r="G44" s="63" t="s">
        <v>799</v>
      </c>
      <c r="H44" s="63" t="s">
        <v>665</v>
      </c>
      <c r="I44" s="64" t="s">
        <v>666</v>
      </c>
      <c r="J44" s="64" t="s">
        <v>831</v>
      </c>
      <c r="K44" s="64" t="s">
        <v>832</v>
      </c>
      <c r="L44" s="63" t="s">
        <v>833</v>
      </c>
      <c r="M44" s="63" t="s">
        <v>803</v>
      </c>
      <c r="N44" s="63" t="s">
        <v>834</v>
      </c>
    </row>
    <row r="45" spans="1:14" ht="156" customHeight="1">
      <c r="A45" s="54" t="s">
        <v>835</v>
      </c>
      <c r="B45" s="59" t="s">
        <v>640</v>
      </c>
      <c r="C45" s="55" t="s">
        <v>17</v>
      </c>
      <c r="D45" s="56" t="s">
        <v>836</v>
      </c>
      <c r="E45" s="57" t="s">
        <v>837</v>
      </c>
      <c r="F45" s="57" t="s">
        <v>663</v>
      </c>
      <c r="G45" s="57" t="s">
        <v>838</v>
      </c>
      <c r="H45" s="57" t="s">
        <v>665</v>
      </c>
      <c r="I45" s="58" t="s">
        <v>666</v>
      </c>
      <c r="J45" s="58" t="s">
        <v>740</v>
      </c>
      <c r="K45" s="58" t="s">
        <v>741</v>
      </c>
      <c r="L45" s="57" t="s">
        <v>778</v>
      </c>
      <c r="M45" s="57" t="s">
        <v>839</v>
      </c>
      <c r="N45" s="57" t="s">
        <v>840</v>
      </c>
    </row>
    <row r="46" spans="1:14" ht="260.10000000000002" customHeight="1">
      <c r="A46" s="54" t="s">
        <v>841</v>
      </c>
      <c r="B46" s="59" t="s">
        <v>640</v>
      </c>
      <c r="C46" s="55" t="s">
        <v>17</v>
      </c>
      <c r="D46" s="56" t="s">
        <v>842</v>
      </c>
      <c r="E46" s="57" t="s">
        <v>843</v>
      </c>
      <c r="F46" s="57" t="s">
        <v>663</v>
      </c>
      <c r="G46" s="57" t="s">
        <v>784</v>
      </c>
      <c r="H46" s="57" t="s">
        <v>665</v>
      </c>
      <c r="I46" s="58" t="s">
        <v>666</v>
      </c>
      <c r="J46" s="58" t="s">
        <v>844</v>
      </c>
      <c r="K46" s="58" t="s">
        <v>845</v>
      </c>
      <c r="L46" s="57" t="s">
        <v>846</v>
      </c>
      <c r="M46" s="57" t="s">
        <v>847</v>
      </c>
      <c r="N46" s="57" t="s">
        <v>848</v>
      </c>
    </row>
    <row r="47" spans="1:14" ht="156" customHeight="1">
      <c r="A47" s="54" t="s">
        <v>849</v>
      </c>
      <c r="B47" s="59" t="s">
        <v>640</v>
      </c>
      <c r="C47" s="55" t="s">
        <v>17</v>
      </c>
      <c r="D47" s="56" t="s">
        <v>850</v>
      </c>
      <c r="E47" s="57" t="s">
        <v>851</v>
      </c>
      <c r="F47" s="57" t="s">
        <v>738</v>
      </c>
      <c r="G47" s="57" t="s">
        <v>852</v>
      </c>
      <c r="H47" s="57" t="s">
        <v>665</v>
      </c>
      <c r="I47" s="58" t="s">
        <v>666</v>
      </c>
      <c r="J47" s="58" t="s">
        <v>740</v>
      </c>
      <c r="K47" s="58" t="s">
        <v>741</v>
      </c>
      <c r="L47" s="57" t="s">
        <v>793</v>
      </c>
      <c r="M47" s="57" t="s">
        <v>853</v>
      </c>
      <c r="N47" s="57" t="s">
        <v>854</v>
      </c>
    </row>
    <row r="48" spans="1:14" ht="260.10000000000002" customHeight="1">
      <c r="A48" s="54" t="s">
        <v>855</v>
      </c>
      <c r="B48" s="59" t="s">
        <v>640</v>
      </c>
      <c r="C48" s="55" t="s">
        <v>17</v>
      </c>
      <c r="D48" s="56" t="s">
        <v>856</v>
      </c>
      <c r="E48" s="57" t="s">
        <v>857</v>
      </c>
      <c r="F48" s="57" t="s">
        <v>738</v>
      </c>
      <c r="G48" s="57" t="s">
        <v>858</v>
      </c>
      <c r="H48" s="57" t="s">
        <v>665</v>
      </c>
      <c r="I48" s="58" t="s">
        <v>666</v>
      </c>
      <c r="J48" s="58" t="s">
        <v>859</v>
      </c>
      <c r="K48" s="58" t="s">
        <v>860</v>
      </c>
      <c r="L48" s="57" t="s">
        <v>861</v>
      </c>
      <c r="M48" s="57" t="s">
        <v>862</v>
      </c>
      <c r="N48" s="57" t="s">
        <v>863</v>
      </c>
    </row>
    <row r="49" spans="1:14" ht="182.1" customHeight="1">
      <c r="A49" s="54" t="s">
        <v>864</v>
      </c>
      <c r="B49" s="59" t="s">
        <v>640</v>
      </c>
      <c r="C49" s="55" t="s">
        <v>30</v>
      </c>
      <c r="D49" s="56" t="s">
        <v>850</v>
      </c>
      <c r="E49" s="57" t="s">
        <v>865</v>
      </c>
      <c r="F49" s="57" t="s">
        <v>738</v>
      </c>
      <c r="G49" s="57" t="s">
        <v>664</v>
      </c>
      <c r="H49" s="57" t="s">
        <v>866</v>
      </c>
      <c r="I49" s="58" t="s">
        <v>867</v>
      </c>
      <c r="J49" s="58" t="s">
        <v>868</v>
      </c>
      <c r="K49" s="58" t="s">
        <v>869</v>
      </c>
      <c r="L49" s="57" t="s">
        <v>870</v>
      </c>
      <c r="M49" s="57" t="s">
        <v>871</v>
      </c>
      <c r="N49" s="57" t="s">
        <v>872</v>
      </c>
    </row>
    <row r="50" spans="1:14" ht="182.1" customHeight="1">
      <c r="A50" s="54" t="s">
        <v>873</v>
      </c>
      <c r="B50" s="59" t="s">
        <v>640</v>
      </c>
      <c r="C50" s="55" t="s">
        <v>64</v>
      </c>
      <c r="D50" s="56" t="s">
        <v>856</v>
      </c>
      <c r="E50" s="57" t="s">
        <v>874</v>
      </c>
      <c r="F50" s="57" t="s">
        <v>738</v>
      </c>
      <c r="G50" s="57" t="s">
        <v>858</v>
      </c>
      <c r="H50" s="57" t="s">
        <v>875</v>
      </c>
      <c r="I50" s="58" t="s">
        <v>876</v>
      </c>
      <c r="J50" s="58" t="s">
        <v>877</v>
      </c>
      <c r="K50" s="58" t="s">
        <v>869</v>
      </c>
      <c r="L50" s="57" t="s">
        <v>878</v>
      </c>
      <c r="M50" s="57" t="s">
        <v>879</v>
      </c>
      <c r="N50" s="57" t="s">
        <v>880</v>
      </c>
    </row>
    <row r="51" spans="1:14" ht="92.1" customHeight="1">
      <c r="A51" s="54" t="s">
        <v>881</v>
      </c>
      <c r="B51" s="59" t="s">
        <v>640</v>
      </c>
      <c r="C51" s="55" t="s">
        <v>166</v>
      </c>
      <c r="D51" s="56" t="s">
        <v>856</v>
      </c>
      <c r="E51" s="57" t="s">
        <v>882</v>
      </c>
      <c r="F51" s="57" t="s">
        <v>738</v>
      </c>
      <c r="G51" s="57" t="s">
        <v>858</v>
      </c>
      <c r="H51" s="57" t="s">
        <v>665</v>
      </c>
      <c r="I51" s="58" t="s">
        <v>666</v>
      </c>
      <c r="J51" s="58" t="s">
        <v>831</v>
      </c>
      <c r="K51" s="58" t="s">
        <v>832</v>
      </c>
      <c r="L51" s="57" t="s">
        <v>883</v>
      </c>
      <c r="M51" s="57" t="s">
        <v>884</v>
      </c>
      <c r="N51" s="57" t="s">
        <v>885</v>
      </c>
    </row>
    <row r="52" spans="1:14" ht="156" customHeight="1">
      <c r="A52" s="54" t="s">
        <v>886</v>
      </c>
      <c r="B52" s="59" t="s">
        <v>640</v>
      </c>
      <c r="C52" s="55" t="s">
        <v>30</v>
      </c>
      <c r="D52" s="56" t="s">
        <v>887</v>
      </c>
      <c r="E52" s="57" t="s">
        <v>888</v>
      </c>
      <c r="F52" s="57" t="s">
        <v>738</v>
      </c>
      <c r="G52" s="57" t="s">
        <v>858</v>
      </c>
      <c r="H52" s="57" t="s">
        <v>889</v>
      </c>
      <c r="I52" s="58" t="s">
        <v>890</v>
      </c>
      <c r="J52" s="58" t="s">
        <v>891</v>
      </c>
      <c r="K52" s="58" t="s">
        <v>892</v>
      </c>
      <c r="L52" s="57" t="s">
        <v>893</v>
      </c>
      <c r="M52" s="57" t="s">
        <v>894</v>
      </c>
      <c r="N52" s="57" t="s">
        <v>895</v>
      </c>
    </row>
    <row r="53" spans="1:14" ht="156" customHeight="1">
      <c r="A53" s="54" t="s">
        <v>896</v>
      </c>
      <c r="B53" s="59" t="s">
        <v>640</v>
      </c>
      <c r="C53" s="55" t="s">
        <v>17</v>
      </c>
      <c r="D53" s="56" t="s">
        <v>897</v>
      </c>
      <c r="E53" s="57" t="s">
        <v>898</v>
      </c>
      <c r="F53" s="57" t="s">
        <v>738</v>
      </c>
      <c r="G53" s="57" t="s">
        <v>899</v>
      </c>
      <c r="H53" s="57" t="s">
        <v>665</v>
      </c>
      <c r="I53" s="58" t="s">
        <v>666</v>
      </c>
      <c r="J53" s="58" t="s">
        <v>900</v>
      </c>
      <c r="K53" s="58" t="s">
        <v>741</v>
      </c>
      <c r="L53" s="57" t="s">
        <v>861</v>
      </c>
      <c r="M53" s="57" t="s">
        <v>901</v>
      </c>
      <c r="N53" s="57" t="s">
        <v>902</v>
      </c>
    </row>
    <row r="54" spans="1:14" ht="221.1" customHeight="1">
      <c r="A54" s="54" t="s">
        <v>903</v>
      </c>
      <c r="B54" s="59" t="s">
        <v>640</v>
      </c>
      <c r="C54" s="55" t="s">
        <v>17</v>
      </c>
      <c r="D54" s="56" t="s">
        <v>904</v>
      </c>
      <c r="E54" s="57" t="s">
        <v>905</v>
      </c>
      <c r="F54" s="57" t="s">
        <v>738</v>
      </c>
      <c r="G54" s="57" t="s">
        <v>906</v>
      </c>
      <c r="H54" s="57" t="s">
        <v>665</v>
      </c>
      <c r="I54" s="58" t="s">
        <v>666</v>
      </c>
      <c r="J54" s="58" t="s">
        <v>907</v>
      </c>
      <c r="K54" s="58" t="s">
        <v>908</v>
      </c>
      <c r="L54" s="57" t="s">
        <v>909</v>
      </c>
      <c r="M54" s="57" t="s">
        <v>910</v>
      </c>
      <c r="N54" s="57" t="s">
        <v>911</v>
      </c>
    </row>
    <row r="55" spans="1:14" ht="129.94999999999999" customHeight="1">
      <c r="A55" s="54" t="s">
        <v>912</v>
      </c>
      <c r="B55" s="59" t="s">
        <v>640</v>
      </c>
      <c r="C55" s="55" t="s">
        <v>64</v>
      </c>
      <c r="D55" s="56" t="s">
        <v>904</v>
      </c>
      <c r="E55" s="57" t="s">
        <v>913</v>
      </c>
      <c r="F55" s="57" t="s">
        <v>738</v>
      </c>
      <c r="G55" s="57" t="s">
        <v>906</v>
      </c>
      <c r="H55" s="57" t="s">
        <v>914</v>
      </c>
      <c r="I55" s="58" t="s">
        <v>915</v>
      </c>
      <c r="J55" s="58" t="s">
        <v>916</v>
      </c>
      <c r="K55" s="58" t="s">
        <v>917</v>
      </c>
      <c r="L55" s="57" t="s">
        <v>918</v>
      </c>
      <c r="M55" s="57" t="s">
        <v>919</v>
      </c>
      <c r="N55" s="57" t="s">
        <v>920</v>
      </c>
    </row>
    <row r="56" spans="1:14" ht="260.10000000000002" customHeight="1">
      <c r="A56" s="54" t="s">
        <v>921</v>
      </c>
      <c r="B56" s="59" t="s">
        <v>640</v>
      </c>
      <c r="C56" s="55" t="s">
        <v>30</v>
      </c>
      <c r="D56" s="56" t="s">
        <v>922</v>
      </c>
      <c r="E56" s="57" t="s">
        <v>923</v>
      </c>
      <c r="F56" s="57" t="s">
        <v>738</v>
      </c>
      <c r="G56" s="57" t="s">
        <v>906</v>
      </c>
      <c r="H56" s="57" t="s">
        <v>924</v>
      </c>
      <c r="I56" s="58" t="s">
        <v>925</v>
      </c>
      <c r="J56" s="58" t="s">
        <v>926</v>
      </c>
      <c r="K56" s="58" t="s">
        <v>927</v>
      </c>
      <c r="L56" s="57" t="s">
        <v>928</v>
      </c>
      <c r="M56" s="57" t="s">
        <v>929</v>
      </c>
      <c r="N56" s="57" t="s">
        <v>930</v>
      </c>
    </row>
    <row r="57" spans="1:14" ht="156" customHeight="1">
      <c r="A57" s="54" t="s">
        <v>931</v>
      </c>
      <c r="B57" s="59" t="s">
        <v>640</v>
      </c>
      <c r="C57" s="55" t="s">
        <v>17</v>
      </c>
      <c r="D57" s="56" t="s">
        <v>932</v>
      </c>
      <c r="E57" s="57" t="s">
        <v>933</v>
      </c>
      <c r="F57" s="57" t="s">
        <v>738</v>
      </c>
      <c r="G57" s="57" t="s">
        <v>934</v>
      </c>
      <c r="H57" s="57" t="s">
        <v>665</v>
      </c>
      <c r="I57" s="58" t="s">
        <v>666</v>
      </c>
      <c r="J57" s="58" t="s">
        <v>740</v>
      </c>
      <c r="K57" s="58" t="s">
        <v>741</v>
      </c>
      <c r="L57" s="57" t="s">
        <v>861</v>
      </c>
      <c r="M57" s="57" t="s">
        <v>935</v>
      </c>
      <c r="N57" s="57" t="s">
        <v>936</v>
      </c>
    </row>
    <row r="58" spans="1:14" ht="221.1" customHeight="1">
      <c r="A58" s="54" t="s">
        <v>937</v>
      </c>
      <c r="B58" s="59" t="s">
        <v>640</v>
      </c>
      <c r="C58" s="55" t="s">
        <v>17</v>
      </c>
      <c r="D58" s="56" t="s">
        <v>938</v>
      </c>
      <c r="E58" s="57" t="s">
        <v>939</v>
      </c>
      <c r="F58" s="57" t="s">
        <v>738</v>
      </c>
      <c r="G58" s="57" t="s">
        <v>940</v>
      </c>
      <c r="H58" s="57" t="s">
        <v>665</v>
      </c>
      <c r="I58" s="58" t="s">
        <v>666</v>
      </c>
      <c r="J58" s="58" t="s">
        <v>941</v>
      </c>
      <c r="K58" s="58" t="s">
        <v>908</v>
      </c>
      <c r="L58" s="57" t="s">
        <v>942</v>
      </c>
      <c r="M58" s="57" t="s">
        <v>943</v>
      </c>
      <c r="N58" s="57" t="s">
        <v>944</v>
      </c>
    </row>
    <row r="59" spans="1:14" ht="260.10000000000002" customHeight="1">
      <c r="A59" s="54" t="s">
        <v>945</v>
      </c>
      <c r="B59" s="59" t="s">
        <v>640</v>
      </c>
      <c r="C59" s="55" t="s">
        <v>64</v>
      </c>
      <c r="D59" s="56" t="s">
        <v>938</v>
      </c>
      <c r="E59" s="57" t="s">
        <v>946</v>
      </c>
      <c r="F59" s="57" t="s">
        <v>738</v>
      </c>
      <c r="G59" s="57" t="s">
        <v>940</v>
      </c>
      <c r="H59" s="57" t="s">
        <v>947</v>
      </c>
      <c r="I59" s="58" t="s">
        <v>948</v>
      </c>
      <c r="J59" s="58" t="s">
        <v>949</v>
      </c>
      <c r="K59" s="58" t="s">
        <v>950</v>
      </c>
      <c r="L59" s="57" t="s">
        <v>951</v>
      </c>
      <c r="M59" s="57" t="s">
        <v>929</v>
      </c>
      <c r="N59" s="57" t="s">
        <v>952</v>
      </c>
    </row>
    <row r="60" spans="1:14" ht="104.1" customHeight="1">
      <c r="A60" s="54" t="s">
        <v>953</v>
      </c>
      <c r="B60" s="59" t="s">
        <v>640</v>
      </c>
      <c r="C60" s="55" t="s">
        <v>166</v>
      </c>
      <c r="D60" s="56" t="s">
        <v>938</v>
      </c>
      <c r="E60" s="57" t="s">
        <v>954</v>
      </c>
      <c r="F60" s="57" t="s">
        <v>738</v>
      </c>
      <c r="G60" s="57" t="s">
        <v>940</v>
      </c>
      <c r="H60" s="57" t="s">
        <v>665</v>
      </c>
      <c r="I60" s="58" t="s">
        <v>666</v>
      </c>
      <c r="J60" s="58" t="s">
        <v>831</v>
      </c>
      <c r="K60" s="58" t="s">
        <v>832</v>
      </c>
      <c r="L60" s="57" t="s">
        <v>955</v>
      </c>
      <c r="M60" s="57" t="s">
        <v>956</v>
      </c>
      <c r="N60" s="57" t="s">
        <v>957</v>
      </c>
    </row>
    <row r="61" spans="1:14" ht="104.1" customHeight="1">
      <c r="A61" s="54" t="s">
        <v>958</v>
      </c>
      <c r="B61" s="59" t="s">
        <v>640</v>
      </c>
      <c r="C61" s="55" t="s">
        <v>30</v>
      </c>
      <c r="D61" s="56" t="s">
        <v>959</v>
      </c>
      <c r="E61" s="57" t="s">
        <v>960</v>
      </c>
      <c r="F61" s="57" t="s">
        <v>738</v>
      </c>
      <c r="G61" s="57" t="s">
        <v>858</v>
      </c>
      <c r="H61" s="57" t="s">
        <v>665</v>
      </c>
      <c r="I61" s="58" t="s">
        <v>666</v>
      </c>
      <c r="J61" s="58" t="s">
        <v>961</v>
      </c>
      <c r="K61" s="58" t="s">
        <v>962</v>
      </c>
      <c r="L61" s="57" t="s">
        <v>963</v>
      </c>
      <c r="M61" s="57" t="s">
        <v>964</v>
      </c>
      <c r="N61" s="57" t="s">
        <v>965</v>
      </c>
    </row>
    <row r="62" spans="1:14" ht="104.1" customHeight="1">
      <c r="A62" s="54" t="s">
        <v>966</v>
      </c>
      <c r="B62" s="59" t="s">
        <v>640</v>
      </c>
      <c r="C62" s="55" t="s">
        <v>30</v>
      </c>
      <c r="D62" s="56" t="s">
        <v>967</v>
      </c>
      <c r="E62" s="57" t="s">
        <v>968</v>
      </c>
      <c r="F62" s="57" t="s">
        <v>738</v>
      </c>
      <c r="G62" s="57" t="s">
        <v>858</v>
      </c>
      <c r="H62" s="57" t="s">
        <v>665</v>
      </c>
      <c r="I62" s="58" t="s">
        <v>666</v>
      </c>
      <c r="J62" s="58" t="s">
        <v>969</v>
      </c>
      <c r="K62" s="58" t="s">
        <v>970</v>
      </c>
      <c r="L62" s="57" t="s">
        <v>971</v>
      </c>
      <c r="M62" s="57" t="s">
        <v>972</v>
      </c>
      <c r="N62" s="57" t="s">
        <v>973</v>
      </c>
    </row>
    <row r="63" spans="1:14" ht="92.1" customHeight="1">
      <c r="A63" s="54" t="s">
        <v>974</v>
      </c>
      <c r="B63" s="59" t="s">
        <v>640</v>
      </c>
      <c r="C63" s="55" t="s">
        <v>30</v>
      </c>
      <c r="D63" s="56" t="s">
        <v>975</v>
      </c>
      <c r="E63" s="57" t="s">
        <v>976</v>
      </c>
      <c r="F63" s="57" t="s">
        <v>738</v>
      </c>
      <c r="G63" s="57" t="s">
        <v>858</v>
      </c>
      <c r="H63" s="57" t="s">
        <v>665</v>
      </c>
      <c r="I63" s="58" t="s">
        <v>666</v>
      </c>
      <c r="J63" s="58" t="s">
        <v>977</v>
      </c>
      <c r="K63" s="58" t="s">
        <v>978</v>
      </c>
      <c r="L63" s="57" t="s">
        <v>979</v>
      </c>
      <c r="M63" s="57" t="s">
        <v>972</v>
      </c>
      <c r="N63" s="57" t="s">
        <v>980</v>
      </c>
    </row>
    <row r="64" spans="1:14" ht="260.10000000000002" customHeight="1">
      <c r="A64" s="54" t="s">
        <v>981</v>
      </c>
      <c r="B64" s="59" t="s">
        <v>640</v>
      </c>
      <c r="C64" s="55" t="s">
        <v>17</v>
      </c>
      <c r="D64" s="56" t="s">
        <v>982</v>
      </c>
      <c r="E64" s="57" t="s">
        <v>983</v>
      </c>
      <c r="F64" s="57" t="s">
        <v>738</v>
      </c>
      <c r="G64" s="57" t="s">
        <v>984</v>
      </c>
      <c r="H64" s="57" t="s">
        <v>665</v>
      </c>
      <c r="I64" s="58" t="s">
        <v>666</v>
      </c>
      <c r="J64" s="58" t="s">
        <v>985</v>
      </c>
      <c r="K64" s="58" t="s">
        <v>986</v>
      </c>
      <c r="L64" s="57" t="s">
        <v>987</v>
      </c>
      <c r="M64" s="57" t="s">
        <v>988</v>
      </c>
      <c r="N64" s="57" t="s">
        <v>989</v>
      </c>
    </row>
    <row r="65" spans="1:14" ht="260.10000000000002" customHeight="1">
      <c r="A65" s="60" t="s">
        <v>990</v>
      </c>
      <c r="B65" s="65" t="s">
        <v>641</v>
      </c>
      <c r="C65" s="61" t="s">
        <v>17</v>
      </c>
      <c r="D65" s="62" t="s">
        <v>991</v>
      </c>
      <c r="E65" s="63" t="s">
        <v>992</v>
      </c>
      <c r="F65" s="63" t="s">
        <v>704</v>
      </c>
      <c r="G65" s="63" t="s">
        <v>784</v>
      </c>
      <c r="H65" s="63" t="s">
        <v>665</v>
      </c>
      <c r="I65" s="64" t="s">
        <v>666</v>
      </c>
      <c r="J65" s="64" t="s">
        <v>993</v>
      </c>
      <c r="K65" s="64" t="s">
        <v>994</v>
      </c>
      <c r="L65" s="63" t="s">
        <v>995</v>
      </c>
      <c r="M65" s="63" t="s">
        <v>996</v>
      </c>
      <c r="N65" s="63" t="s">
        <v>997</v>
      </c>
    </row>
    <row r="66" spans="1:14" ht="156" customHeight="1">
      <c r="A66" s="60" t="s">
        <v>998</v>
      </c>
      <c r="B66" s="65" t="s">
        <v>641</v>
      </c>
      <c r="C66" s="61" t="s">
        <v>17</v>
      </c>
      <c r="D66" s="62" t="s">
        <v>999</v>
      </c>
      <c r="E66" s="63" t="s">
        <v>1000</v>
      </c>
      <c r="F66" s="63" t="s">
        <v>704</v>
      </c>
      <c r="G66" s="63" t="s">
        <v>940</v>
      </c>
      <c r="H66" s="63" t="s">
        <v>665</v>
      </c>
      <c r="I66" s="64" t="s">
        <v>666</v>
      </c>
      <c r="J66" s="64" t="s">
        <v>1001</v>
      </c>
      <c r="K66" s="64" t="s">
        <v>927</v>
      </c>
      <c r="L66" s="63" t="s">
        <v>1002</v>
      </c>
      <c r="M66" s="63" t="s">
        <v>1003</v>
      </c>
      <c r="N66" s="63" t="s">
        <v>1004</v>
      </c>
    </row>
    <row r="67" spans="1:14" ht="156" customHeight="1">
      <c r="A67" s="60" t="s">
        <v>1005</v>
      </c>
      <c r="B67" s="65" t="s">
        <v>641</v>
      </c>
      <c r="C67" s="61" t="s">
        <v>17</v>
      </c>
      <c r="D67" s="62" t="s">
        <v>1006</v>
      </c>
      <c r="E67" s="63" t="s">
        <v>1007</v>
      </c>
      <c r="F67" s="63" t="s">
        <v>704</v>
      </c>
      <c r="G67" s="63" t="s">
        <v>1008</v>
      </c>
      <c r="H67" s="63" t="s">
        <v>665</v>
      </c>
      <c r="I67" s="64" t="s">
        <v>666</v>
      </c>
      <c r="J67" s="64" t="s">
        <v>740</v>
      </c>
      <c r="K67" s="64" t="s">
        <v>741</v>
      </c>
      <c r="L67" s="63" t="s">
        <v>778</v>
      </c>
      <c r="M67" s="63" t="s">
        <v>1009</v>
      </c>
      <c r="N67" s="63" t="s">
        <v>1010</v>
      </c>
    </row>
    <row r="68" spans="1:14" ht="143.1" customHeight="1">
      <c r="A68" s="60" t="s">
        <v>1011</v>
      </c>
      <c r="B68" s="65" t="s">
        <v>641</v>
      </c>
      <c r="C68" s="61" t="s">
        <v>17</v>
      </c>
      <c r="D68" s="62" t="s">
        <v>1012</v>
      </c>
      <c r="E68" s="63" t="s">
        <v>1013</v>
      </c>
      <c r="F68" s="63" t="s">
        <v>704</v>
      </c>
      <c r="G68" s="63" t="s">
        <v>858</v>
      </c>
      <c r="H68" s="63" t="s">
        <v>665</v>
      </c>
      <c r="I68" s="64" t="s">
        <v>666</v>
      </c>
      <c r="J68" s="64" t="s">
        <v>1014</v>
      </c>
      <c r="K68" s="64" t="s">
        <v>1015</v>
      </c>
      <c r="L68" s="63" t="s">
        <v>861</v>
      </c>
      <c r="M68" s="63" t="s">
        <v>1009</v>
      </c>
      <c r="N68" s="63" t="s">
        <v>1016</v>
      </c>
    </row>
    <row r="69" spans="1:14" ht="143.1" customHeight="1">
      <c r="A69" s="60" t="s">
        <v>1017</v>
      </c>
      <c r="B69" s="65" t="s">
        <v>641</v>
      </c>
      <c r="C69" s="61" t="s">
        <v>322</v>
      </c>
      <c r="D69" s="62" t="s">
        <v>1012</v>
      </c>
      <c r="E69" s="63" t="s">
        <v>1018</v>
      </c>
      <c r="F69" s="63" t="s">
        <v>704</v>
      </c>
      <c r="G69" s="63" t="s">
        <v>858</v>
      </c>
      <c r="H69" s="63" t="s">
        <v>1019</v>
      </c>
      <c r="I69" s="64" t="s">
        <v>1020</v>
      </c>
      <c r="J69" s="64" t="s">
        <v>1014</v>
      </c>
      <c r="K69" s="64" t="s">
        <v>1015</v>
      </c>
      <c r="L69" s="63" t="s">
        <v>1021</v>
      </c>
      <c r="M69" s="63" t="s">
        <v>1022</v>
      </c>
      <c r="N69" s="63" t="s">
        <v>1023</v>
      </c>
    </row>
    <row r="70" spans="1:14" ht="143.1" customHeight="1">
      <c r="A70" s="60" t="s">
        <v>1024</v>
      </c>
      <c r="B70" s="65" t="s">
        <v>641</v>
      </c>
      <c r="C70" s="61" t="s">
        <v>30</v>
      </c>
      <c r="D70" s="62" t="s">
        <v>1025</v>
      </c>
      <c r="E70" s="63" t="s">
        <v>1026</v>
      </c>
      <c r="F70" s="63" t="s">
        <v>704</v>
      </c>
      <c r="G70" s="63" t="s">
        <v>858</v>
      </c>
      <c r="H70" s="63" t="s">
        <v>665</v>
      </c>
      <c r="I70" s="64" t="s">
        <v>666</v>
      </c>
      <c r="J70" s="64" t="s">
        <v>1027</v>
      </c>
      <c r="K70" s="64" t="s">
        <v>1015</v>
      </c>
      <c r="L70" s="63" t="s">
        <v>861</v>
      </c>
      <c r="M70" s="63" t="s">
        <v>1009</v>
      </c>
      <c r="N70" s="63" t="s">
        <v>1028</v>
      </c>
    </row>
    <row r="71" spans="1:14" ht="92.1" customHeight="1">
      <c r="A71" s="60" t="s">
        <v>1029</v>
      </c>
      <c r="B71" s="65" t="s">
        <v>641</v>
      </c>
      <c r="C71" s="61" t="s">
        <v>166</v>
      </c>
      <c r="D71" s="62" t="s">
        <v>1012</v>
      </c>
      <c r="E71" s="63" t="s">
        <v>1030</v>
      </c>
      <c r="F71" s="63" t="s">
        <v>704</v>
      </c>
      <c r="G71" s="63" t="s">
        <v>858</v>
      </c>
      <c r="H71" s="63" t="s">
        <v>665</v>
      </c>
      <c r="I71" s="64" t="s">
        <v>666</v>
      </c>
      <c r="J71" s="64" t="s">
        <v>831</v>
      </c>
      <c r="K71" s="64" t="s">
        <v>832</v>
      </c>
      <c r="L71" s="63" t="s">
        <v>1031</v>
      </c>
      <c r="M71" s="63" t="s">
        <v>1032</v>
      </c>
      <c r="N71" s="63" t="s">
        <v>1033</v>
      </c>
    </row>
    <row r="72" spans="1:14" ht="156" customHeight="1">
      <c r="A72" s="54" t="s">
        <v>1034</v>
      </c>
      <c r="B72" s="59" t="s">
        <v>642</v>
      </c>
      <c r="C72" s="55" t="s">
        <v>17</v>
      </c>
      <c r="D72" s="56" t="s">
        <v>1035</v>
      </c>
      <c r="E72" s="57" t="s">
        <v>1036</v>
      </c>
      <c r="F72" s="57" t="s">
        <v>704</v>
      </c>
      <c r="G72" s="57" t="s">
        <v>1037</v>
      </c>
      <c r="H72" s="57" t="s">
        <v>665</v>
      </c>
      <c r="I72" s="58" t="s">
        <v>666</v>
      </c>
      <c r="J72" s="58" t="s">
        <v>740</v>
      </c>
      <c r="K72" s="58" t="s">
        <v>741</v>
      </c>
      <c r="L72" s="57" t="s">
        <v>778</v>
      </c>
      <c r="M72" s="57" t="s">
        <v>1038</v>
      </c>
      <c r="N72" s="57" t="s">
        <v>1039</v>
      </c>
    </row>
    <row r="73" spans="1:14" ht="195" customHeight="1">
      <c r="A73" s="54" t="s">
        <v>1040</v>
      </c>
      <c r="B73" s="59" t="s">
        <v>642</v>
      </c>
      <c r="C73" s="55" t="s">
        <v>17</v>
      </c>
      <c r="D73" s="56" t="s">
        <v>1041</v>
      </c>
      <c r="E73" s="57" t="s">
        <v>1042</v>
      </c>
      <c r="F73" s="57" t="s">
        <v>704</v>
      </c>
      <c r="G73" s="57" t="s">
        <v>1043</v>
      </c>
      <c r="H73" s="57" t="s">
        <v>665</v>
      </c>
      <c r="I73" s="58" t="s">
        <v>666</v>
      </c>
      <c r="J73" s="58" t="s">
        <v>1044</v>
      </c>
      <c r="K73" s="58" t="s">
        <v>1045</v>
      </c>
      <c r="L73" s="57" t="s">
        <v>1046</v>
      </c>
      <c r="M73" s="57" t="s">
        <v>1047</v>
      </c>
      <c r="N73" s="57" t="s">
        <v>1048</v>
      </c>
    </row>
    <row r="74" spans="1:14" ht="195" customHeight="1">
      <c r="A74" s="54" t="s">
        <v>1049</v>
      </c>
      <c r="B74" s="59" t="s">
        <v>642</v>
      </c>
      <c r="C74" s="55" t="s">
        <v>30</v>
      </c>
      <c r="D74" s="56" t="s">
        <v>1035</v>
      </c>
      <c r="E74" s="57" t="s">
        <v>1050</v>
      </c>
      <c r="F74" s="57" t="s">
        <v>704</v>
      </c>
      <c r="G74" s="57" t="s">
        <v>664</v>
      </c>
      <c r="H74" s="57" t="s">
        <v>1051</v>
      </c>
      <c r="I74" s="58" t="s">
        <v>1052</v>
      </c>
      <c r="J74" s="58" t="s">
        <v>1053</v>
      </c>
      <c r="K74" s="58" t="s">
        <v>1045</v>
      </c>
      <c r="L74" s="57" t="s">
        <v>1054</v>
      </c>
      <c r="M74" s="57" t="s">
        <v>1055</v>
      </c>
      <c r="N74" s="57" t="s">
        <v>1056</v>
      </c>
    </row>
    <row r="75" spans="1:14" ht="129.94999999999999" customHeight="1">
      <c r="A75" s="54" t="s">
        <v>1057</v>
      </c>
      <c r="B75" s="59" t="s">
        <v>642</v>
      </c>
      <c r="C75" s="55" t="s">
        <v>64</v>
      </c>
      <c r="D75" s="56" t="s">
        <v>1041</v>
      </c>
      <c r="E75" s="57" t="s">
        <v>1058</v>
      </c>
      <c r="F75" s="57" t="s">
        <v>704</v>
      </c>
      <c r="G75" s="57" t="s">
        <v>1043</v>
      </c>
      <c r="H75" s="57" t="s">
        <v>1059</v>
      </c>
      <c r="I75" s="58" t="s">
        <v>1060</v>
      </c>
      <c r="J75" s="58" t="s">
        <v>1061</v>
      </c>
      <c r="K75" s="58" t="s">
        <v>1062</v>
      </c>
      <c r="L75" s="57" t="s">
        <v>1063</v>
      </c>
      <c r="M75" s="57" t="s">
        <v>1064</v>
      </c>
      <c r="N75" s="57" t="s">
        <v>1065</v>
      </c>
    </row>
    <row r="76" spans="1:14" ht="104.1" customHeight="1">
      <c r="A76" s="54" t="s">
        <v>1066</v>
      </c>
      <c r="B76" s="59" t="s">
        <v>642</v>
      </c>
      <c r="C76" s="55" t="s">
        <v>64</v>
      </c>
      <c r="D76" s="56" t="s">
        <v>1067</v>
      </c>
      <c r="E76" s="57" t="s">
        <v>1068</v>
      </c>
      <c r="F76" s="57" t="s">
        <v>704</v>
      </c>
      <c r="G76" s="57" t="s">
        <v>1043</v>
      </c>
      <c r="H76" s="57" t="s">
        <v>1069</v>
      </c>
      <c r="I76" s="58" t="s">
        <v>1070</v>
      </c>
      <c r="J76" s="58" t="s">
        <v>1071</v>
      </c>
      <c r="K76" s="58" t="s">
        <v>1072</v>
      </c>
      <c r="L76" s="57" t="s">
        <v>1073</v>
      </c>
      <c r="M76" s="57" t="s">
        <v>1064</v>
      </c>
      <c r="N76" s="57" t="s">
        <v>1074</v>
      </c>
    </row>
    <row r="77" spans="1:14" ht="92.1" customHeight="1">
      <c r="A77" s="54" t="s">
        <v>1075</v>
      </c>
      <c r="B77" s="59" t="s">
        <v>642</v>
      </c>
      <c r="C77" s="55" t="s">
        <v>166</v>
      </c>
      <c r="D77" s="56" t="s">
        <v>1041</v>
      </c>
      <c r="E77" s="57" t="s">
        <v>1076</v>
      </c>
      <c r="F77" s="57" t="s">
        <v>704</v>
      </c>
      <c r="G77" s="57" t="s">
        <v>1043</v>
      </c>
      <c r="H77" s="57" t="s">
        <v>665</v>
      </c>
      <c r="I77" s="58" t="s">
        <v>666</v>
      </c>
      <c r="J77" s="58" t="s">
        <v>831</v>
      </c>
      <c r="K77" s="58" t="s">
        <v>832</v>
      </c>
      <c r="L77" s="57" t="s">
        <v>1063</v>
      </c>
      <c r="M77" s="57" t="s">
        <v>1077</v>
      </c>
      <c r="N77" s="57" t="s">
        <v>1078</v>
      </c>
    </row>
    <row r="78" spans="1:14" ht="92.1" customHeight="1">
      <c r="A78" s="54" t="s">
        <v>1079</v>
      </c>
      <c r="B78" s="59" t="s">
        <v>642</v>
      </c>
      <c r="C78" s="55" t="s">
        <v>17</v>
      </c>
      <c r="D78" s="56" t="s">
        <v>1080</v>
      </c>
      <c r="E78" s="57" t="s">
        <v>1081</v>
      </c>
      <c r="F78" s="57" t="s">
        <v>704</v>
      </c>
      <c r="G78" s="57" t="s">
        <v>1082</v>
      </c>
      <c r="H78" s="57" t="s">
        <v>665</v>
      </c>
      <c r="I78" s="58" t="s">
        <v>666</v>
      </c>
      <c r="J78" s="58" t="s">
        <v>1083</v>
      </c>
      <c r="K78" s="58" t="s">
        <v>1084</v>
      </c>
      <c r="L78" s="57" t="s">
        <v>778</v>
      </c>
      <c r="M78" s="57" t="s">
        <v>1038</v>
      </c>
      <c r="N78" s="57" t="s">
        <v>1085</v>
      </c>
    </row>
    <row r="79" spans="1:14" ht="156" customHeight="1">
      <c r="A79" s="60" t="s">
        <v>1086</v>
      </c>
      <c r="B79" s="65" t="s">
        <v>643</v>
      </c>
      <c r="C79" s="61" t="s">
        <v>17</v>
      </c>
      <c r="D79" s="62" t="s">
        <v>1087</v>
      </c>
      <c r="E79" s="63" t="s">
        <v>1088</v>
      </c>
      <c r="F79" s="63" t="s">
        <v>704</v>
      </c>
      <c r="G79" s="63" t="s">
        <v>1089</v>
      </c>
      <c r="H79" s="63" t="s">
        <v>665</v>
      </c>
      <c r="I79" s="64" t="s">
        <v>666</v>
      </c>
      <c r="J79" s="64" t="s">
        <v>740</v>
      </c>
      <c r="K79" s="64" t="s">
        <v>741</v>
      </c>
      <c r="L79" s="63" t="s">
        <v>778</v>
      </c>
      <c r="M79" s="63" t="s">
        <v>1090</v>
      </c>
      <c r="N79" s="63" t="s">
        <v>1091</v>
      </c>
    </row>
    <row r="80" spans="1:14" ht="129.94999999999999" customHeight="1">
      <c r="A80" s="60" t="s">
        <v>1092</v>
      </c>
      <c r="B80" s="65" t="s">
        <v>643</v>
      </c>
      <c r="C80" s="61" t="s">
        <v>30</v>
      </c>
      <c r="D80" s="62" t="s">
        <v>1087</v>
      </c>
      <c r="E80" s="63" t="s">
        <v>1093</v>
      </c>
      <c r="F80" s="63" t="s">
        <v>704</v>
      </c>
      <c r="G80" s="63" t="s">
        <v>664</v>
      </c>
      <c r="H80" s="63" t="s">
        <v>1094</v>
      </c>
      <c r="I80" s="64" t="s">
        <v>1095</v>
      </c>
      <c r="J80" s="64" t="s">
        <v>1096</v>
      </c>
      <c r="K80" s="64" t="s">
        <v>1097</v>
      </c>
      <c r="L80" s="63" t="s">
        <v>1098</v>
      </c>
      <c r="M80" s="63" t="s">
        <v>1099</v>
      </c>
      <c r="N80" s="63" t="s">
        <v>1100</v>
      </c>
    </row>
    <row r="81" spans="1:14" ht="195" customHeight="1">
      <c r="A81" s="60" t="s">
        <v>1101</v>
      </c>
      <c r="B81" s="65" t="s">
        <v>643</v>
      </c>
      <c r="C81" s="61" t="s">
        <v>17</v>
      </c>
      <c r="D81" s="62" t="s">
        <v>1102</v>
      </c>
      <c r="E81" s="63" t="s">
        <v>1103</v>
      </c>
      <c r="F81" s="63" t="s">
        <v>704</v>
      </c>
      <c r="G81" s="63" t="s">
        <v>1104</v>
      </c>
      <c r="H81" s="63" t="s">
        <v>665</v>
      </c>
      <c r="I81" s="64" t="s">
        <v>666</v>
      </c>
      <c r="J81" s="64" t="s">
        <v>1105</v>
      </c>
      <c r="K81" s="64" t="s">
        <v>1045</v>
      </c>
      <c r="L81" s="63" t="s">
        <v>1063</v>
      </c>
      <c r="M81" s="63" t="s">
        <v>1090</v>
      </c>
      <c r="N81" s="63" t="s">
        <v>1106</v>
      </c>
    </row>
    <row r="82" spans="1:14" ht="129.94999999999999" customHeight="1">
      <c r="A82" s="60" t="s">
        <v>1107</v>
      </c>
      <c r="B82" s="65" t="s">
        <v>643</v>
      </c>
      <c r="C82" s="61" t="s">
        <v>64</v>
      </c>
      <c r="D82" s="62" t="s">
        <v>1102</v>
      </c>
      <c r="E82" s="63" t="s">
        <v>1108</v>
      </c>
      <c r="F82" s="63" t="s">
        <v>704</v>
      </c>
      <c r="G82" s="63" t="s">
        <v>1104</v>
      </c>
      <c r="H82" s="63" t="s">
        <v>1109</v>
      </c>
      <c r="I82" s="64" t="s">
        <v>1095</v>
      </c>
      <c r="J82" s="64" t="s">
        <v>1110</v>
      </c>
      <c r="K82" s="64" t="s">
        <v>1097</v>
      </c>
      <c r="L82" s="63" t="s">
        <v>1111</v>
      </c>
      <c r="M82" s="63" t="s">
        <v>1099</v>
      </c>
      <c r="N82" s="63" t="s">
        <v>1112</v>
      </c>
    </row>
    <row r="83" spans="1:14" ht="92.1" customHeight="1">
      <c r="A83" s="60" t="s">
        <v>1113</v>
      </c>
      <c r="B83" s="65" t="s">
        <v>643</v>
      </c>
      <c r="C83" s="61" t="s">
        <v>166</v>
      </c>
      <c r="D83" s="62" t="s">
        <v>1102</v>
      </c>
      <c r="E83" s="63" t="s">
        <v>1114</v>
      </c>
      <c r="F83" s="63" t="s">
        <v>704</v>
      </c>
      <c r="G83" s="63" t="s">
        <v>1104</v>
      </c>
      <c r="H83" s="63" t="s">
        <v>665</v>
      </c>
      <c r="I83" s="64" t="s">
        <v>666</v>
      </c>
      <c r="J83" s="64" t="s">
        <v>831</v>
      </c>
      <c r="K83" s="64" t="s">
        <v>832</v>
      </c>
      <c r="L83" s="63" t="s">
        <v>1063</v>
      </c>
      <c r="M83" s="63" t="s">
        <v>1090</v>
      </c>
      <c r="N83" s="63" t="s">
        <v>1115</v>
      </c>
    </row>
    <row r="84" spans="1:14" ht="156" customHeight="1">
      <c r="A84" s="60" t="s">
        <v>1116</v>
      </c>
      <c r="B84" s="65" t="s">
        <v>643</v>
      </c>
      <c r="C84" s="61" t="s">
        <v>17</v>
      </c>
      <c r="D84" s="62" t="s">
        <v>1117</v>
      </c>
      <c r="E84" s="63" t="s">
        <v>1118</v>
      </c>
      <c r="F84" s="63" t="s">
        <v>704</v>
      </c>
      <c r="G84" s="63" t="s">
        <v>1119</v>
      </c>
      <c r="H84" s="63" t="s">
        <v>665</v>
      </c>
      <c r="I84" s="64" t="s">
        <v>666</v>
      </c>
      <c r="J84" s="64" t="s">
        <v>740</v>
      </c>
      <c r="K84" s="64" t="s">
        <v>741</v>
      </c>
      <c r="L84" s="63" t="s">
        <v>1120</v>
      </c>
      <c r="M84" s="63" t="s">
        <v>1121</v>
      </c>
      <c r="N84" s="63" t="s">
        <v>1122</v>
      </c>
    </row>
    <row r="85" spans="1:14" ht="92.1" customHeight="1">
      <c r="A85" s="60" t="s">
        <v>1123</v>
      </c>
      <c r="B85" s="65" t="s">
        <v>643</v>
      </c>
      <c r="C85" s="61" t="s">
        <v>30</v>
      </c>
      <c r="D85" s="62" t="s">
        <v>1117</v>
      </c>
      <c r="E85" s="63" t="s">
        <v>1124</v>
      </c>
      <c r="F85" s="63" t="s">
        <v>704</v>
      </c>
      <c r="G85" s="63" t="s">
        <v>1104</v>
      </c>
      <c r="H85" s="63" t="s">
        <v>1125</v>
      </c>
      <c r="I85" s="64" t="s">
        <v>1126</v>
      </c>
      <c r="J85" s="64" t="s">
        <v>1127</v>
      </c>
      <c r="K85" s="64" t="s">
        <v>1128</v>
      </c>
      <c r="L85" s="63" t="s">
        <v>1129</v>
      </c>
      <c r="M85" s="63" t="s">
        <v>1130</v>
      </c>
      <c r="N85" s="63" t="s">
        <v>1131</v>
      </c>
    </row>
    <row r="86" spans="1:14" ht="92.1" customHeight="1">
      <c r="A86" s="60" t="s">
        <v>1132</v>
      </c>
      <c r="B86" s="65" t="s">
        <v>643</v>
      </c>
      <c r="C86" s="61" t="s">
        <v>166</v>
      </c>
      <c r="D86" s="62" t="s">
        <v>1133</v>
      </c>
      <c r="E86" s="63" t="s">
        <v>1134</v>
      </c>
      <c r="F86" s="63" t="s">
        <v>704</v>
      </c>
      <c r="G86" s="63" t="s">
        <v>1135</v>
      </c>
      <c r="H86" s="63" t="s">
        <v>665</v>
      </c>
      <c r="I86" s="64" t="s">
        <v>666</v>
      </c>
      <c r="J86" s="64" t="s">
        <v>831</v>
      </c>
      <c r="K86" s="64" t="s">
        <v>832</v>
      </c>
      <c r="L86" s="63" t="s">
        <v>1136</v>
      </c>
      <c r="M86" s="63" t="s">
        <v>1137</v>
      </c>
      <c r="N86" s="63" t="s">
        <v>1138</v>
      </c>
    </row>
    <row r="87" spans="1:14" ht="156" customHeight="1">
      <c r="A87" s="54" t="s">
        <v>1139</v>
      </c>
      <c r="B87" s="59" t="s">
        <v>644</v>
      </c>
      <c r="C87" s="55" t="s">
        <v>17</v>
      </c>
      <c r="D87" s="56" t="s">
        <v>1140</v>
      </c>
      <c r="E87" s="57" t="s">
        <v>1141</v>
      </c>
      <c r="F87" s="57" t="s">
        <v>704</v>
      </c>
      <c r="G87" s="57" t="s">
        <v>1142</v>
      </c>
      <c r="H87" s="57" t="s">
        <v>665</v>
      </c>
      <c r="I87" s="58" t="s">
        <v>666</v>
      </c>
      <c r="J87" s="58" t="s">
        <v>740</v>
      </c>
      <c r="K87" s="58" t="s">
        <v>741</v>
      </c>
      <c r="L87" s="57" t="s">
        <v>778</v>
      </c>
      <c r="M87" s="57" t="s">
        <v>1143</v>
      </c>
      <c r="N87" s="57" t="s">
        <v>1144</v>
      </c>
    </row>
    <row r="88" spans="1:14" ht="260.10000000000002" customHeight="1">
      <c r="A88" s="54" t="s">
        <v>1145</v>
      </c>
      <c r="B88" s="59" t="s">
        <v>644</v>
      </c>
      <c r="C88" s="55" t="s">
        <v>17</v>
      </c>
      <c r="D88" s="56" t="s">
        <v>1146</v>
      </c>
      <c r="E88" s="57" t="s">
        <v>1147</v>
      </c>
      <c r="F88" s="57" t="s">
        <v>704</v>
      </c>
      <c r="G88" s="57" t="s">
        <v>1148</v>
      </c>
      <c r="H88" s="57" t="s">
        <v>665</v>
      </c>
      <c r="I88" s="58" t="s">
        <v>666</v>
      </c>
      <c r="J88" s="58" t="s">
        <v>1149</v>
      </c>
      <c r="K88" s="58" t="s">
        <v>1150</v>
      </c>
      <c r="L88" s="57" t="s">
        <v>1151</v>
      </c>
      <c r="M88" s="57" t="s">
        <v>1152</v>
      </c>
      <c r="N88" s="57" t="s">
        <v>1153</v>
      </c>
    </row>
    <row r="89" spans="1:14" ht="156" customHeight="1">
      <c r="A89" s="54" t="s">
        <v>1154</v>
      </c>
      <c r="B89" s="59" t="s">
        <v>644</v>
      </c>
      <c r="C89" s="55" t="s">
        <v>17</v>
      </c>
      <c r="D89" s="56" t="s">
        <v>1155</v>
      </c>
      <c r="E89" s="57" t="s">
        <v>1156</v>
      </c>
      <c r="F89" s="57" t="s">
        <v>738</v>
      </c>
      <c r="G89" s="57" t="s">
        <v>1157</v>
      </c>
      <c r="H89" s="57" t="s">
        <v>665</v>
      </c>
      <c r="I89" s="58" t="s">
        <v>666</v>
      </c>
      <c r="J89" s="58" t="s">
        <v>740</v>
      </c>
      <c r="K89" s="58" t="s">
        <v>741</v>
      </c>
      <c r="L89" s="57" t="s">
        <v>793</v>
      </c>
      <c r="M89" s="57" t="s">
        <v>1158</v>
      </c>
      <c r="N89" s="57" t="s">
        <v>1159</v>
      </c>
    </row>
    <row r="90" spans="1:14" ht="221.1" customHeight="1">
      <c r="A90" s="54" t="s">
        <v>1160</v>
      </c>
      <c r="B90" s="59" t="s">
        <v>644</v>
      </c>
      <c r="C90" s="55" t="s">
        <v>17</v>
      </c>
      <c r="D90" s="56" t="s">
        <v>1161</v>
      </c>
      <c r="E90" s="57" t="s">
        <v>1162</v>
      </c>
      <c r="F90" s="57" t="s">
        <v>738</v>
      </c>
      <c r="G90" s="57" t="s">
        <v>1148</v>
      </c>
      <c r="H90" s="57" t="s">
        <v>665</v>
      </c>
      <c r="I90" s="58" t="s">
        <v>666</v>
      </c>
      <c r="J90" s="58" t="s">
        <v>1163</v>
      </c>
      <c r="K90" s="58" t="s">
        <v>1164</v>
      </c>
      <c r="L90" s="57" t="s">
        <v>1165</v>
      </c>
      <c r="M90" s="57" t="s">
        <v>1166</v>
      </c>
      <c r="N90" s="57" t="s">
        <v>1167</v>
      </c>
    </row>
    <row r="91" spans="1:14" ht="143.1" customHeight="1">
      <c r="A91" s="54" t="s">
        <v>1168</v>
      </c>
      <c r="B91" s="59" t="s">
        <v>644</v>
      </c>
      <c r="C91" s="55" t="s">
        <v>30</v>
      </c>
      <c r="D91" s="56" t="s">
        <v>1155</v>
      </c>
      <c r="E91" s="57" t="s">
        <v>1169</v>
      </c>
      <c r="F91" s="57" t="s">
        <v>738</v>
      </c>
      <c r="G91" s="57" t="s">
        <v>664</v>
      </c>
      <c r="H91" s="57" t="s">
        <v>1170</v>
      </c>
      <c r="I91" s="58" t="s">
        <v>1171</v>
      </c>
      <c r="J91" s="58" t="s">
        <v>1172</v>
      </c>
      <c r="K91" s="58" t="s">
        <v>1173</v>
      </c>
      <c r="L91" s="57" t="s">
        <v>1174</v>
      </c>
      <c r="M91" s="57" t="s">
        <v>1175</v>
      </c>
      <c r="N91" s="57" t="s">
        <v>1176</v>
      </c>
    </row>
    <row r="92" spans="1:14" ht="143.1" customHeight="1">
      <c r="A92" s="54" t="s">
        <v>1177</v>
      </c>
      <c r="B92" s="59" t="s">
        <v>644</v>
      </c>
      <c r="C92" s="55" t="s">
        <v>64</v>
      </c>
      <c r="D92" s="56" t="s">
        <v>1161</v>
      </c>
      <c r="E92" s="57" t="s">
        <v>1178</v>
      </c>
      <c r="F92" s="57" t="s">
        <v>738</v>
      </c>
      <c r="G92" s="57" t="s">
        <v>1148</v>
      </c>
      <c r="H92" s="57" t="s">
        <v>1179</v>
      </c>
      <c r="I92" s="58" t="s">
        <v>1180</v>
      </c>
      <c r="J92" s="58" t="s">
        <v>1181</v>
      </c>
      <c r="K92" s="58" t="s">
        <v>1173</v>
      </c>
      <c r="L92" s="57" t="s">
        <v>1182</v>
      </c>
      <c r="M92" s="57" t="s">
        <v>1183</v>
      </c>
      <c r="N92" s="57" t="s">
        <v>1184</v>
      </c>
    </row>
    <row r="93" spans="1:14" ht="92.1" customHeight="1">
      <c r="A93" s="54" t="s">
        <v>1185</v>
      </c>
      <c r="B93" s="59" t="s">
        <v>644</v>
      </c>
      <c r="C93" s="55" t="s">
        <v>166</v>
      </c>
      <c r="D93" s="56" t="s">
        <v>1161</v>
      </c>
      <c r="E93" s="57" t="s">
        <v>1186</v>
      </c>
      <c r="F93" s="57" t="s">
        <v>738</v>
      </c>
      <c r="G93" s="57" t="s">
        <v>1148</v>
      </c>
      <c r="H93" s="57" t="s">
        <v>665</v>
      </c>
      <c r="I93" s="58" t="s">
        <v>666</v>
      </c>
      <c r="J93" s="58" t="s">
        <v>831</v>
      </c>
      <c r="K93" s="58" t="s">
        <v>832</v>
      </c>
      <c r="L93" s="57" t="s">
        <v>1187</v>
      </c>
      <c r="M93" s="57" t="s">
        <v>1188</v>
      </c>
      <c r="N93" s="57" t="s">
        <v>1189</v>
      </c>
    </row>
    <row r="94" spans="1:14" ht="156" customHeight="1">
      <c r="A94" s="54" t="s">
        <v>1190</v>
      </c>
      <c r="B94" s="59" t="s">
        <v>644</v>
      </c>
      <c r="C94" s="55" t="s">
        <v>30</v>
      </c>
      <c r="D94" s="56" t="s">
        <v>1191</v>
      </c>
      <c r="E94" s="57" t="s">
        <v>1192</v>
      </c>
      <c r="F94" s="57" t="s">
        <v>738</v>
      </c>
      <c r="G94" s="57" t="s">
        <v>1148</v>
      </c>
      <c r="H94" s="57" t="s">
        <v>1193</v>
      </c>
      <c r="I94" s="58" t="s">
        <v>1194</v>
      </c>
      <c r="J94" s="58" t="s">
        <v>1195</v>
      </c>
      <c r="K94" s="58" t="s">
        <v>1196</v>
      </c>
      <c r="L94" s="57" t="s">
        <v>1197</v>
      </c>
      <c r="M94" s="57" t="s">
        <v>1198</v>
      </c>
      <c r="N94" s="57" t="s">
        <v>1199</v>
      </c>
    </row>
    <row r="95" spans="1:14" ht="221.1" customHeight="1">
      <c r="A95" s="54" t="s">
        <v>1200</v>
      </c>
      <c r="B95" s="59" t="s">
        <v>644</v>
      </c>
      <c r="C95" s="55" t="s">
        <v>17</v>
      </c>
      <c r="D95" s="56" t="s">
        <v>1201</v>
      </c>
      <c r="E95" s="57" t="s">
        <v>1202</v>
      </c>
      <c r="F95" s="57" t="s">
        <v>738</v>
      </c>
      <c r="G95" s="57" t="s">
        <v>1203</v>
      </c>
      <c r="H95" s="57" t="s">
        <v>665</v>
      </c>
      <c r="I95" s="58" t="s">
        <v>666</v>
      </c>
      <c r="J95" s="58" t="s">
        <v>1204</v>
      </c>
      <c r="K95" s="58" t="s">
        <v>1205</v>
      </c>
      <c r="L95" s="57" t="s">
        <v>1206</v>
      </c>
      <c r="M95" s="57" t="s">
        <v>1207</v>
      </c>
      <c r="N95" s="57" t="s">
        <v>1208</v>
      </c>
    </row>
    <row r="96" spans="1:14" ht="143.1" customHeight="1">
      <c r="A96" s="54" t="s">
        <v>1209</v>
      </c>
      <c r="B96" s="59" t="s">
        <v>644</v>
      </c>
      <c r="C96" s="55" t="s">
        <v>64</v>
      </c>
      <c r="D96" s="56" t="s">
        <v>1201</v>
      </c>
      <c r="E96" s="57" t="s">
        <v>1210</v>
      </c>
      <c r="F96" s="57" t="s">
        <v>738</v>
      </c>
      <c r="G96" s="57" t="s">
        <v>1203</v>
      </c>
      <c r="H96" s="57" t="s">
        <v>1211</v>
      </c>
      <c r="I96" s="58" t="s">
        <v>876</v>
      </c>
      <c r="J96" s="58" t="s">
        <v>1212</v>
      </c>
      <c r="K96" s="58" t="s">
        <v>1196</v>
      </c>
      <c r="L96" s="57" t="s">
        <v>1213</v>
      </c>
      <c r="M96" s="57" t="s">
        <v>1214</v>
      </c>
      <c r="N96" s="57" t="s">
        <v>1215</v>
      </c>
    </row>
    <row r="97" spans="1:14" ht="92.1" customHeight="1">
      <c r="A97" s="54" t="s">
        <v>1216</v>
      </c>
      <c r="B97" s="59" t="s">
        <v>644</v>
      </c>
      <c r="C97" s="55" t="s">
        <v>166</v>
      </c>
      <c r="D97" s="56" t="s">
        <v>1201</v>
      </c>
      <c r="E97" s="57" t="s">
        <v>1217</v>
      </c>
      <c r="F97" s="57" t="s">
        <v>738</v>
      </c>
      <c r="G97" s="57" t="s">
        <v>1203</v>
      </c>
      <c r="H97" s="57" t="s">
        <v>665</v>
      </c>
      <c r="I97" s="58" t="s">
        <v>666</v>
      </c>
      <c r="J97" s="58" t="s">
        <v>831</v>
      </c>
      <c r="K97" s="58" t="s">
        <v>832</v>
      </c>
      <c r="L97" s="57" t="s">
        <v>1218</v>
      </c>
      <c r="M97" s="57" t="s">
        <v>1219</v>
      </c>
      <c r="N97" s="57" t="s">
        <v>1220</v>
      </c>
    </row>
    <row r="98" spans="1:14" ht="143.1" customHeight="1">
      <c r="A98" s="54" t="s">
        <v>1221</v>
      </c>
      <c r="B98" s="59" t="s">
        <v>644</v>
      </c>
      <c r="C98" s="55" t="s">
        <v>30</v>
      </c>
      <c r="D98" s="56" t="s">
        <v>1222</v>
      </c>
      <c r="E98" s="57" t="s">
        <v>1223</v>
      </c>
      <c r="F98" s="57" t="s">
        <v>738</v>
      </c>
      <c r="G98" s="57" t="s">
        <v>1203</v>
      </c>
      <c r="H98" s="57" t="s">
        <v>1224</v>
      </c>
      <c r="I98" s="58" t="s">
        <v>1225</v>
      </c>
      <c r="J98" s="58" t="s">
        <v>1226</v>
      </c>
      <c r="K98" s="58" t="s">
        <v>1227</v>
      </c>
      <c r="L98" s="57" t="s">
        <v>1228</v>
      </c>
      <c r="M98" s="57" t="s">
        <v>1229</v>
      </c>
      <c r="N98" s="57" t="s">
        <v>1230</v>
      </c>
    </row>
    <row r="99" spans="1:14" ht="143.1" customHeight="1">
      <c r="A99" s="54" t="s">
        <v>1231</v>
      </c>
      <c r="B99" s="59" t="s">
        <v>644</v>
      </c>
      <c r="C99" s="55" t="s">
        <v>64</v>
      </c>
      <c r="D99" s="56" t="s">
        <v>1232</v>
      </c>
      <c r="E99" s="57" t="s">
        <v>1233</v>
      </c>
      <c r="F99" s="57" t="s">
        <v>738</v>
      </c>
      <c r="G99" s="57" t="s">
        <v>1234</v>
      </c>
      <c r="H99" s="57" t="s">
        <v>1235</v>
      </c>
      <c r="I99" s="58" t="s">
        <v>1225</v>
      </c>
      <c r="J99" s="58" t="s">
        <v>1236</v>
      </c>
      <c r="K99" s="58" t="s">
        <v>1227</v>
      </c>
      <c r="L99" s="57" t="s">
        <v>1237</v>
      </c>
      <c r="M99" s="57" t="s">
        <v>1238</v>
      </c>
      <c r="N99" s="57" t="s">
        <v>1239</v>
      </c>
    </row>
    <row r="100" spans="1:14" ht="92.1" customHeight="1">
      <c r="A100" s="54" t="s">
        <v>1240</v>
      </c>
      <c r="B100" s="59" t="s">
        <v>644</v>
      </c>
      <c r="C100" s="55" t="s">
        <v>166</v>
      </c>
      <c r="D100" s="56" t="s">
        <v>1232</v>
      </c>
      <c r="E100" s="57" t="s">
        <v>1241</v>
      </c>
      <c r="F100" s="57" t="s">
        <v>738</v>
      </c>
      <c r="G100" s="57" t="s">
        <v>1234</v>
      </c>
      <c r="H100" s="57" t="s">
        <v>665</v>
      </c>
      <c r="I100" s="58" t="s">
        <v>666</v>
      </c>
      <c r="J100" s="58" t="s">
        <v>831</v>
      </c>
      <c r="K100" s="58" t="s">
        <v>832</v>
      </c>
      <c r="L100" s="57" t="s">
        <v>1242</v>
      </c>
      <c r="M100" s="57" t="s">
        <v>1243</v>
      </c>
      <c r="N100" s="57" t="s">
        <v>1244</v>
      </c>
    </row>
    <row r="101" spans="1:14" ht="104.1" customHeight="1">
      <c r="A101" s="54" t="s">
        <v>1245</v>
      </c>
      <c r="B101" s="59" t="s">
        <v>644</v>
      </c>
      <c r="C101" s="55" t="s">
        <v>30</v>
      </c>
      <c r="D101" s="56" t="s">
        <v>1246</v>
      </c>
      <c r="E101" s="57" t="s">
        <v>1247</v>
      </c>
      <c r="F101" s="57" t="s">
        <v>738</v>
      </c>
      <c r="G101" s="57" t="s">
        <v>1148</v>
      </c>
      <c r="H101" s="57" t="s">
        <v>665</v>
      </c>
      <c r="I101" s="58" t="s">
        <v>666</v>
      </c>
      <c r="J101" s="58" t="s">
        <v>961</v>
      </c>
      <c r="K101" s="58" t="s">
        <v>962</v>
      </c>
      <c r="L101" s="57" t="s">
        <v>1248</v>
      </c>
      <c r="M101" s="57" t="s">
        <v>1249</v>
      </c>
      <c r="N101" s="57" t="s">
        <v>1250</v>
      </c>
    </row>
    <row r="102" spans="1:14" ht="92.1" customHeight="1">
      <c r="A102" s="54" t="s">
        <v>1251</v>
      </c>
      <c r="B102" s="59" t="s">
        <v>644</v>
      </c>
      <c r="C102" s="55" t="s">
        <v>30</v>
      </c>
      <c r="D102" s="56" t="s">
        <v>1252</v>
      </c>
      <c r="E102" s="57" t="s">
        <v>1253</v>
      </c>
      <c r="F102" s="57" t="s">
        <v>738</v>
      </c>
      <c r="G102" s="57" t="s">
        <v>1148</v>
      </c>
      <c r="H102" s="57" t="s">
        <v>665</v>
      </c>
      <c r="I102" s="58" t="s">
        <v>666</v>
      </c>
      <c r="J102" s="58" t="s">
        <v>977</v>
      </c>
      <c r="K102" s="58" t="s">
        <v>978</v>
      </c>
      <c r="L102" s="57" t="s">
        <v>971</v>
      </c>
      <c r="M102" s="57" t="s">
        <v>1254</v>
      </c>
      <c r="N102" s="57" t="s">
        <v>1255</v>
      </c>
    </row>
    <row r="103" spans="1:14" ht="92.1" customHeight="1">
      <c r="A103" s="54" t="s">
        <v>1256</v>
      </c>
      <c r="B103" s="59" t="s">
        <v>644</v>
      </c>
      <c r="C103" s="55" t="s">
        <v>30</v>
      </c>
      <c r="D103" s="56" t="s">
        <v>1257</v>
      </c>
      <c r="E103" s="57" t="s">
        <v>1258</v>
      </c>
      <c r="F103" s="57" t="s">
        <v>738</v>
      </c>
      <c r="G103" s="57" t="s">
        <v>1148</v>
      </c>
      <c r="H103" s="57" t="s">
        <v>665</v>
      </c>
      <c r="I103" s="58" t="s">
        <v>666</v>
      </c>
      <c r="J103" s="58" t="s">
        <v>977</v>
      </c>
      <c r="K103" s="58" t="s">
        <v>978</v>
      </c>
      <c r="L103" s="57" t="s">
        <v>1259</v>
      </c>
      <c r="M103" s="57" t="s">
        <v>1254</v>
      </c>
      <c r="N103" s="57" t="s">
        <v>1260</v>
      </c>
    </row>
    <row r="104" spans="1:14" ht="207.95" customHeight="1">
      <c r="A104" s="60" t="s">
        <v>1261</v>
      </c>
      <c r="B104" s="65" t="s">
        <v>645</v>
      </c>
      <c r="C104" s="61" t="s">
        <v>30</v>
      </c>
      <c r="D104" s="62" t="s">
        <v>1262</v>
      </c>
      <c r="E104" s="63" t="s">
        <v>1263</v>
      </c>
      <c r="F104" s="63" t="s">
        <v>704</v>
      </c>
      <c r="G104" s="63" t="s">
        <v>664</v>
      </c>
      <c r="H104" s="63" t="s">
        <v>1264</v>
      </c>
      <c r="I104" s="64" t="s">
        <v>1265</v>
      </c>
      <c r="J104" s="64" t="s">
        <v>1266</v>
      </c>
      <c r="K104" s="64" t="s">
        <v>1267</v>
      </c>
      <c r="L104" s="63" t="s">
        <v>1268</v>
      </c>
      <c r="M104" s="63" t="s">
        <v>1269</v>
      </c>
      <c r="N104" s="63" t="s">
        <v>1270</v>
      </c>
    </row>
    <row r="105" spans="1:14" ht="207.95" customHeight="1">
      <c r="A105" s="60" t="s">
        <v>1271</v>
      </c>
      <c r="B105" s="65" t="s">
        <v>645</v>
      </c>
      <c r="C105" s="61" t="s">
        <v>17</v>
      </c>
      <c r="D105" s="62" t="s">
        <v>1272</v>
      </c>
      <c r="E105" s="63" t="s">
        <v>1273</v>
      </c>
      <c r="F105" s="63" t="s">
        <v>704</v>
      </c>
      <c r="G105" s="63" t="s">
        <v>1274</v>
      </c>
      <c r="H105" s="63" t="s">
        <v>665</v>
      </c>
      <c r="I105" s="64" t="s">
        <v>666</v>
      </c>
      <c r="J105" s="64" t="s">
        <v>1275</v>
      </c>
      <c r="K105" s="64" t="s">
        <v>1276</v>
      </c>
      <c r="L105" s="63" t="s">
        <v>1063</v>
      </c>
      <c r="M105" s="63" t="s">
        <v>1277</v>
      </c>
      <c r="N105" s="63" t="s">
        <v>1278</v>
      </c>
    </row>
    <row r="106" spans="1:14" ht="143.1" customHeight="1">
      <c r="A106" s="60" t="s">
        <v>1279</v>
      </c>
      <c r="B106" s="65" t="s">
        <v>645</v>
      </c>
      <c r="C106" s="61" t="s">
        <v>30</v>
      </c>
      <c r="D106" s="62" t="s">
        <v>1280</v>
      </c>
      <c r="E106" s="63" t="s">
        <v>1281</v>
      </c>
      <c r="F106" s="63" t="s">
        <v>704</v>
      </c>
      <c r="G106" s="63" t="s">
        <v>1274</v>
      </c>
      <c r="H106" s="63" t="s">
        <v>1282</v>
      </c>
      <c r="I106" s="64" t="s">
        <v>1283</v>
      </c>
      <c r="J106" s="64" t="s">
        <v>1284</v>
      </c>
      <c r="K106" s="64" t="s">
        <v>1285</v>
      </c>
      <c r="L106" s="63" t="s">
        <v>1286</v>
      </c>
      <c r="M106" s="63" t="s">
        <v>1287</v>
      </c>
      <c r="N106" s="63" t="s">
        <v>1288</v>
      </c>
    </row>
    <row r="107" spans="1:14" ht="156" customHeight="1">
      <c r="A107" s="60" t="s">
        <v>1289</v>
      </c>
      <c r="B107" s="65" t="s">
        <v>645</v>
      </c>
      <c r="C107" s="61" t="s">
        <v>30</v>
      </c>
      <c r="D107" s="62" t="s">
        <v>1290</v>
      </c>
      <c r="E107" s="63" t="s">
        <v>1291</v>
      </c>
      <c r="F107" s="63" t="s">
        <v>704</v>
      </c>
      <c r="G107" s="63" t="s">
        <v>1274</v>
      </c>
      <c r="H107" s="63" t="s">
        <v>665</v>
      </c>
      <c r="I107" s="64" t="s">
        <v>666</v>
      </c>
      <c r="J107" s="64" t="s">
        <v>1292</v>
      </c>
      <c r="K107" s="64" t="s">
        <v>1293</v>
      </c>
      <c r="L107" s="63" t="s">
        <v>1294</v>
      </c>
      <c r="M107" s="63" t="s">
        <v>1295</v>
      </c>
      <c r="N107" s="63" t="s">
        <v>1296</v>
      </c>
    </row>
    <row r="108" spans="1:14" ht="92.1" customHeight="1">
      <c r="A108" s="60" t="s">
        <v>1297</v>
      </c>
      <c r="B108" s="65" t="s">
        <v>645</v>
      </c>
      <c r="C108" s="61" t="s">
        <v>30</v>
      </c>
      <c r="D108" s="62" t="s">
        <v>1298</v>
      </c>
      <c r="E108" s="63" t="s">
        <v>1299</v>
      </c>
      <c r="F108" s="63" t="s">
        <v>704</v>
      </c>
      <c r="G108" s="63" t="s">
        <v>1274</v>
      </c>
      <c r="H108" s="63" t="s">
        <v>665</v>
      </c>
      <c r="I108" s="64" t="s">
        <v>666</v>
      </c>
      <c r="J108" s="64" t="s">
        <v>977</v>
      </c>
      <c r="K108" s="64" t="s">
        <v>978</v>
      </c>
      <c r="L108" s="63" t="s">
        <v>1300</v>
      </c>
      <c r="M108" s="63" t="s">
        <v>1301</v>
      </c>
      <c r="N108" s="63" t="s">
        <v>1302</v>
      </c>
    </row>
    <row r="109" spans="1:14" ht="156" customHeight="1">
      <c r="A109" s="60" t="s">
        <v>1303</v>
      </c>
      <c r="B109" s="65" t="s">
        <v>645</v>
      </c>
      <c r="C109" s="61" t="s">
        <v>17</v>
      </c>
      <c r="D109" s="62" t="s">
        <v>1304</v>
      </c>
      <c r="E109" s="63" t="s">
        <v>1305</v>
      </c>
      <c r="F109" s="63" t="s">
        <v>704</v>
      </c>
      <c r="G109" s="63" t="s">
        <v>1306</v>
      </c>
      <c r="H109" s="63" t="s">
        <v>665</v>
      </c>
      <c r="I109" s="64" t="s">
        <v>666</v>
      </c>
      <c r="J109" s="64" t="s">
        <v>740</v>
      </c>
      <c r="K109" s="64" t="s">
        <v>741</v>
      </c>
      <c r="L109" s="63" t="s">
        <v>1307</v>
      </c>
      <c r="M109" s="63" t="s">
        <v>1308</v>
      </c>
      <c r="N109" s="63" t="s">
        <v>1309</v>
      </c>
    </row>
    <row r="110" spans="1:14" ht="156" customHeight="1">
      <c r="A110" s="60" t="s">
        <v>1310</v>
      </c>
      <c r="B110" s="65" t="s">
        <v>645</v>
      </c>
      <c r="C110" s="61" t="s">
        <v>17</v>
      </c>
      <c r="D110" s="62" t="s">
        <v>1311</v>
      </c>
      <c r="E110" s="63" t="s">
        <v>1312</v>
      </c>
      <c r="F110" s="63" t="s">
        <v>704</v>
      </c>
      <c r="G110" s="63" t="s">
        <v>1274</v>
      </c>
      <c r="H110" s="63" t="s">
        <v>665</v>
      </c>
      <c r="I110" s="64" t="s">
        <v>666</v>
      </c>
      <c r="J110" s="64" t="s">
        <v>1313</v>
      </c>
      <c r="K110" s="64" t="s">
        <v>1293</v>
      </c>
      <c r="L110" s="63" t="s">
        <v>1314</v>
      </c>
      <c r="M110" s="63" t="s">
        <v>1277</v>
      </c>
      <c r="N110" s="63" t="s">
        <v>1315</v>
      </c>
    </row>
    <row r="111" spans="1:14" ht="92.1" customHeight="1">
      <c r="A111" s="60" t="s">
        <v>1316</v>
      </c>
      <c r="B111" s="65" t="s">
        <v>645</v>
      </c>
      <c r="C111" s="61" t="s">
        <v>17</v>
      </c>
      <c r="D111" s="62" t="s">
        <v>1317</v>
      </c>
      <c r="E111" s="63" t="s">
        <v>1318</v>
      </c>
      <c r="F111" s="63" t="s">
        <v>704</v>
      </c>
      <c r="G111" s="63" t="s">
        <v>1319</v>
      </c>
      <c r="H111" s="63" t="s">
        <v>665</v>
      </c>
      <c r="I111" s="64" t="s">
        <v>666</v>
      </c>
      <c r="J111" s="64" t="s">
        <v>1320</v>
      </c>
      <c r="K111" s="64" t="s">
        <v>1321</v>
      </c>
      <c r="L111" s="63" t="s">
        <v>778</v>
      </c>
      <c r="M111" s="63" t="s">
        <v>1322</v>
      </c>
      <c r="N111" s="63" t="s">
        <v>1323</v>
      </c>
    </row>
    <row r="112" spans="1:14" ht="260.10000000000002" customHeight="1">
      <c r="A112" s="54" t="s">
        <v>1324</v>
      </c>
      <c r="B112" s="59" t="s">
        <v>646</v>
      </c>
      <c r="C112" s="55" t="s">
        <v>17</v>
      </c>
      <c r="D112" s="56" t="s">
        <v>1325</v>
      </c>
      <c r="E112" s="57" t="s">
        <v>1326</v>
      </c>
      <c r="F112" s="57" t="s">
        <v>704</v>
      </c>
      <c r="G112" s="57" t="s">
        <v>1327</v>
      </c>
      <c r="H112" s="57" t="s">
        <v>665</v>
      </c>
      <c r="I112" s="58" t="s">
        <v>666</v>
      </c>
      <c r="J112" s="58" t="s">
        <v>1328</v>
      </c>
      <c r="K112" s="58" t="s">
        <v>1329</v>
      </c>
      <c r="L112" s="57" t="s">
        <v>1330</v>
      </c>
      <c r="M112" s="57" t="s">
        <v>1331</v>
      </c>
      <c r="N112" s="57" t="s">
        <v>1332</v>
      </c>
    </row>
    <row r="113" spans="1:14" ht="117" customHeight="1">
      <c r="A113" s="54" t="s">
        <v>1333</v>
      </c>
      <c r="B113" s="59" t="s">
        <v>646</v>
      </c>
      <c r="C113" s="55" t="s">
        <v>17</v>
      </c>
      <c r="D113" s="56" t="s">
        <v>1334</v>
      </c>
      <c r="E113" s="57" t="s">
        <v>1335</v>
      </c>
      <c r="F113" s="57" t="s">
        <v>704</v>
      </c>
      <c r="G113" s="57" t="s">
        <v>1336</v>
      </c>
      <c r="H113" s="57" t="s">
        <v>665</v>
      </c>
      <c r="I113" s="58" t="s">
        <v>666</v>
      </c>
      <c r="J113" s="58" t="s">
        <v>1337</v>
      </c>
      <c r="K113" s="58" t="s">
        <v>1338</v>
      </c>
      <c r="L113" s="57" t="s">
        <v>1339</v>
      </c>
      <c r="M113" s="57" t="s">
        <v>1340</v>
      </c>
      <c r="N113" s="57" t="s">
        <v>1341</v>
      </c>
    </row>
    <row r="114" spans="1:14" ht="129.94999999999999" customHeight="1">
      <c r="A114" s="54" t="s">
        <v>1342</v>
      </c>
      <c r="B114" s="59" t="s">
        <v>646</v>
      </c>
      <c r="C114" s="55" t="s">
        <v>17</v>
      </c>
      <c r="D114" s="56" t="s">
        <v>1343</v>
      </c>
      <c r="E114" s="57" t="s">
        <v>1344</v>
      </c>
      <c r="F114" s="57" t="s">
        <v>704</v>
      </c>
      <c r="G114" s="57" t="s">
        <v>1327</v>
      </c>
      <c r="H114" s="57" t="s">
        <v>665</v>
      </c>
      <c r="I114" s="58" t="s">
        <v>666</v>
      </c>
      <c r="J114" s="58" t="s">
        <v>1345</v>
      </c>
      <c r="K114" s="58" t="s">
        <v>1346</v>
      </c>
      <c r="L114" s="57" t="s">
        <v>1330</v>
      </c>
      <c r="M114" s="57" t="s">
        <v>1347</v>
      </c>
      <c r="N114" s="57" t="s">
        <v>1348</v>
      </c>
    </row>
    <row r="115" spans="1:14" ht="129.94999999999999" customHeight="1">
      <c r="A115" s="54" t="s">
        <v>1349</v>
      </c>
      <c r="B115" s="59" t="s">
        <v>646</v>
      </c>
      <c r="C115" s="55" t="s">
        <v>17</v>
      </c>
      <c r="D115" s="56" t="s">
        <v>1350</v>
      </c>
      <c r="E115" s="57" t="s">
        <v>1351</v>
      </c>
      <c r="F115" s="57" t="s">
        <v>704</v>
      </c>
      <c r="G115" s="57" t="s">
        <v>1352</v>
      </c>
      <c r="H115" s="57" t="s">
        <v>665</v>
      </c>
      <c r="I115" s="58" t="s">
        <v>666</v>
      </c>
      <c r="J115" s="58" t="s">
        <v>1353</v>
      </c>
      <c r="K115" s="58" t="s">
        <v>1354</v>
      </c>
      <c r="L115" s="57" t="s">
        <v>778</v>
      </c>
      <c r="M115" s="57" t="s">
        <v>1355</v>
      </c>
      <c r="N115" s="57" t="s">
        <v>1356</v>
      </c>
    </row>
    <row r="116" spans="1:14" ht="260.10000000000002" customHeight="1">
      <c r="A116" s="54" t="s">
        <v>1357</v>
      </c>
      <c r="B116" s="59" t="s">
        <v>646</v>
      </c>
      <c r="C116" s="55" t="s">
        <v>17</v>
      </c>
      <c r="D116" s="56" t="s">
        <v>1358</v>
      </c>
      <c r="E116" s="57" t="s">
        <v>1359</v>
      </c>
      <c r="F116" s="57" t="s">
        <v>738</v>
      </c>
      <c r="G116" s="57" t="s">
        <v>1327</v>
      </c>
      <c r="H116" s="57" t="s">
        <v>665</v>
      </c>
      <c r="I116" s="58" t="s">
        <v>666</v>
      </c>
      <c r="J116" s="58" t="s">
        <v>1360</v>
      </c>
      <c r="K116" s="58" t="s">
        <v>1361</v>
      </c>
      <c r="L116" s="57" t="s">
        <v>1362</v>
      </c>
      <c r="M116" s="57" t="s">
        <v>1363</v>
      </c>
      <c r="N116" s="57" t="s">
        <v>1364</v>
      </c>
    </row>
    <row r="117" spans="1:14" ht="143.1" customHeight="1">
      <c r="A117" s="54" t="s">
        <v>1365</v>
      </c>
      <c r="B117" s="59" t="s">
        <v>646</v>
      </c>
      <c r="C117" s="55" t="s">
        <v>17</v>
      </c>
      <c r="D117" s="56" t="s">
        <v>1366</v>
      </c>
      <c r="E117" s="57" t="s">
        <v>1367</v>
      </c>
      <c r="F117" s="57" t="s">
        <v>738</v>
      </c>
      <c r="G117" s="57" t="s">
        <v>1368</v>
      </c>
      <c r="H117" s="57" t="s">
        <v>665</v>
      </c>
      <c r="I117" s="58" t="s">
        <v>666</v>
      </c>
      <c r="J117" s="58" t="s">
        <v>1369</v>
      </c>
      <c r="K117" s="58" t="s">
        <v>1173</v>
      </c>
      <c r="L117" s="57" t="s">
        <v>793</v>
      </c>
      <c r="M117" s="57" t="s">
        <v>1370</v>
      </c>
      <c r="N117" s="57" t="s">
        <v>1371</v>
      </c>
    </row>
    <row r="118" spans="1:14" ht="143.1" customHeight="1">
      <c r="A118" s="54" t="s">
        <v>1372</v>
      </c>
      <c r="B118" s="59" t="s">
        <v>646</v>
      </c>
      <c r="C118" s="55" t="s">
        <v>17</v>
      </c>
      <c r="D118" s="56" t="s">
        <v>1373</v>
      </c>
      <c r="E118" s="57" t="s">
        <v>1374</v>
      </c>
      <c r="F118" s="57" t="s">
        <v>738</v>
      </c>
      <c r="G118" s="57" t="s">
        <v>1375</v>
      </c>
      <c r="H118" s="57" t="s">
        <v>665</v>
      </c>
      <c r="I118" s="58" t="s">
        <v>666</v>
      </c>
      <c r="J118" s="58" t="s">
        <v>1376</v>
      </c>
      <c r="K118" s="58" t="s">
        <v>1377</v>
      </c>
      <c r="L118" s="57" t="s">
        <v>793</v>
      </c>
      <c r="M118" s="57" t="s">
        <v>1378</v>
      </c>
      <c r="N118" s="57" t="s">
        <v>1379</v>
      </c>
    </row>
    <row r="119" spans="1:14" ht="75.95" customHeight="1"/>
    <row r="120" spans="1:14" ht="75.95" customHeight="1"/>
    <row r="121" spans="1:14" ht="75.95" customHeight="1"/>
    <row r="122" spans="1:14" ht="75.95" customHeight="1"/>
    <row r="123" spans="1:14" ht="75.95" customHeight="1"/>
    <row r="124" spans="1:14" ht="75.95" customHeight="1"/>
    <row r="125" spans="1:14" ht="75.95" customHeight="1"/>
    <row r="126" spans="1:14" ht="75.95" customHeight="1"/>
    <row r="127" spans="1:14" ht="75.95" customHeight="1"/>
    <row r="128" spans="1:14" ht="26.1" customHeight="1"/>
    <row r="129" ht="42" customHeight="1"/>
    <row r="130" ht="42" customHeight="1"/>
    <row r="131" ht="75.95" customHeight="1"/>
    <row r="132" ht="30" customHeight="1"/>
    <row r="133" ht="75.95" customHeight="1"/>
    <row r="134" ht="75.95" customHeight="1"/>
    <row r="135" ht="75.95" customHeight="1"/>
    <row r="136" ht="75.95" customHeight="1"/>
    <row r="137" ht="75.95" customHeight="1"/>
    <row r="138" ht="75.95" customHeight="1"/>
    <row r="139" ht="75.95" customHeight="1"/>
    <row r="140" ht="75.95" customHeight="1"/>
    <row r="141" ht="75.95" customHeight="1"/>
    <row r="142" ht="75.95" customHeight="1"/>
    <row r="143" ht="75.95" customHeight="1"/>
    <row r="144" ht="75.95" customHeight="1"/>
    <row r="145" ht="75.95" customHeight="1"/>
    <row r="146" ht="75.95" customHeight="1"/>
    <row r="147" ht="75.95" customHeight="1"/>
    <row r="148" ht="75.95" customHeight="1"/>
    <row r="149" ht="75.95" customHeight="1"/>
    <row r="150" ht="75.95" customHeight="1"/>
    <row r="151" ht="26.1" customHeight="1"/>
    <row r="152" ht="42" customHeight="1"/>
    <row r="153" ht="42" customHeight="1"/>
    <row r="154" ht="75.95" customHeight="1"/>
    <row r="155" ht="30" customHeight="1"/>
    <row r="156" ht="75.95" customHeight="1"/>
    <row r="157" ht="75.95" customHeight="1"/>
    <row r="158" ht="75.95" customHeight="1"/>
    <row r="159" ht="75.95" customHeight="1"/>
    <row r="160" ht="75.95" customHeight="1"/>
    <row r="161" ht="75.95" customHeight="1"/>
    <row r="162" ht="75.95" customHeight="1"/>
    <row r="163" ht="75.95" customHeight="1"/>
    <row r="164" ht="75.95" customHeight="1"/>
    <row r="165" ht="26.1" customHeight="1"/>
    <row r="166" ht="42" customHeight="1"/>
    <row r="167" ht="42" customHeight="1"/>
    <row r="168" ht="75.95" customHeight="1"/>
    <row r="169" ht="30" customHeight="1"/>
    <row r="170" ht="75.95" customHeight="1"/>
    <row r="171" ht="75.95" customHeight="1"/>
    <row r="172" ht="75.95" customHeight="1"/>
    <row r="173" ht="75.95" customHeight="1"/>
    <row r="174" ht="75.95" customHeight="1"/>
    <row r="175" ht="75.95" customHeight="1"/>
    <row r="176" ht="75.95" customHeight="1"/>
    <row r="177" ht="75.95" customHeight="1"/>
  </sheetData>
  <mergeCells count="9">
    <mergeCell ref="A8:N8"/>
    <mergeCell ref="E10:N10"/>
    <mergeCell ref="E11:N21"/>
    <mergeCell ref="A23:N23"/>
    <mergeCell ref="A1:N1"/>
    <mergeCell ref="A2:N2"/>
    <mergeCell ref="A5:N5"/>
    <mergeCell ref="A6:N6"/>
    <mergeCell ref="A7:N7"/>
  </mergeCells>
  <conditionalFormatting sqref="B18:B177">
    <cfRule type="expression" dxfId="25" priority="1">
      <formula>B18="GET"</formula>
    </cfRule>
    <cfRule type="expression" dxfId="24" priority="2">
      <formula>B18="POST"</formula>
    </cfRule>
    <cfRule type="expression" dxfId="23" priority="3">
      <formula>B18="PATCH"</formula>
    </cfRule>
    <cfRule type="expression" dxfId="22" priority="4">
      <formula>B18="PUT"</formula>
    </cfRule>
    <cfRule type="expression" dxfId="21" priority="5">
      <formula>B18="DELETE"</formula>
    </cfRule>
  </conditionalFormatting>
  <conditionalFormatting sqref="C25:C118">
    <cfRule type="expression" dxfId="20" priority="6">
      <formula>C25="GET"</formula>
    </cfRule>
    <cfRule type="expression" dxfId="19" priority="7">
      <formula>C25="POST"</formula>
    </cfRule>
    <cfRule type="expression" dxfId="18" priority="8">
      <formula>C25="PATCH"</formula>
    </cfRule>
    <cfRule type="expression" dxfId="17" priority="9">
      <formula>C25="PUT"</formula>
    </cfRule>
    <cfRule type="expression" dxfId="16" priority="10">
      <formula>C25="DELETE"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6"/>
  <sheetViews>
    <sheetView tabSelected="1" topLeftCell="A20" workbookViewId="0">
      <selection activeCell="P3" sqref="P3:U5"/>
    </sheetView>
  </sheetViews>
  <sheetFormatPr defaultRowHeight="14.25"/>
  <cols>
    <col min="1" max="1" width="6" customWidth="1"/>
    <col min="2" max="2" width="24" customWidth="1"/>
    <col min="3" max="3" width="7" customWidth="1"/>
    <col min="4" max="4" width="15" customWidth="1"/>
    <col min="5" max="5" width="12" customWidth="1"/>
    <col min="6" max="6" width="9" customWidth="1"/>
    <col min="7" max="7" width="43" customWidth="1"/>
    <col min="8" max="8" width="34" customWidth="1"/>
    <col min="9" max="9" width="24" customWidth="1"/>
    <col min="10" max="10" width="9" customWidth="1"/>
    <col min="11" max="11" width="10" customWidth="1"/>
    <col min="12" max="13" width="13" customWidth="1"/>
    <col min="14" max="14" width="14" customWidth="1"/>
    <col min="15" max="15" width="12" customWidth="1"/>
    <col min="16" max="18" width="13" customWidth="1"/>
    <col min="19" max="19" width="15" customWidth="1"/>
    <col min="20" max="20" width="13" customWidth="1"/>
    <col min="21" max="21" width="34" customWidth="1"/>
  </cols>
  <sheetData>
    <row r="1" spans="1:21" ht="30" customHeight="1">
      <c r="A1" s="66" t="s">
        <v>1380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3" spans="1:21" ht="24">
      <c r="A3" s="19" t="s">
        <v>1381</v>
      </c>
      <c r="B3" s="22">
        <v>46230</v>
      </c>
      <c r="D3" s="25" t="s">
        <v>1382</v>
      </c>
      <c r="E3" s="26" t="s">
        <v>1383</v>
      </c>
      <c r="F3" s="26" t="s">
        <v>1384</v>
      </c>
      <c r="G3" s="26" t="s">
        <v>1385</v>
      </c>
      <c r="H3" s="26" t="s">
        <v>1386</v>
      </c>
      <c r="I3" s="26" t="s">
        <v>1387</v>
      </c>
      <c r="J3" s="27" t="s">
        <v>1388</v>
      </c>
      <c r="P3" s="79" t="s">
        <v>1389</v>
      </c>
      <c r="Q3" s="80"/>
      <c r="R3" s="80"/>
      <c r="S3" s="80"/>
      <c r="T3" s="80"/>
      <c r="U3" s="81"/>
    </row>
    <row r="4" spans="1:21" ht="15.75">
      <c r="A4" s="20" t="s">
        <v>1390</v>
      </c>
      <c r="B4" s="23">
        <f>B3+B5*7-1</f>
        <v>46313</v>
      </c>
      <c r="D4" s="28">
        <f>COUNTA(E23:E116)</f>
        <v>94</v>
      </c>
      <c r="E4" s="40">
        <f>COUNTIF(N23:N116,"Done")</f>
        <v>6</v>
      </c>
      <c r="F4" s="41">
        <f>COUNTIF(N23:N116,"In Progress")</f>
        <v>0</v>
      </c>
      <c r="G4" s="42">
        <f>COUNTIF(N23:N116,"Blocked")</f>
        <v>0</v>
      </c>
      <c r="H4" s="43">
        <f>IF(D4=0,0,E4/D4)</f>
        <v>6.3829787234042548E-2</v>
      </c>
      <c r="I4" s="44">
        <f>SUM(K23:K116)-SUMPRODUCT(K23:K116,O23:O116)</f>
        <v>311</v>
      </c>
      <c r="J4" s="45">
        <f>COUNTIF(Q23:Q116,"Passed")</f>
        <v>0</v>
      </c>
      <c r="P4" s="82"/>
      <c r="Q4" s="83"/>
      <c r="R4" s="83"/>
      <c r="S4" s="83"/>
      <c r="T4" s="83"/>
      <c r="U4" s="84"/>
    </row>
    <row r="5" spans="1:21">
      <c r="A5" s="20" t="s">
        <v>1391</v>
      </c>
      <c r="B5" s="4">
        <v>12</v>
      </c>
      <c r="P5" s="85"/>
      <c r="Q5" s="86"/>
      <c r="R5" s="86"/>
      <c r="S5" s="86"/>
      <c r="T5" s="86"/>
      <c r="U5" s="87"/>
    </row>
    <row r="6" spans="1:21" ht="14.25" customHeight="1">
      <c r="A6" s="21" t="s">
        <v>1392</v>
      </c>
      <c r="B6" s="7">
        <f>SUM(K23:K116)</f>
        <v>334</v>
      </c>
    </row>
    <row r="8" spans="1:21">
      <c r="A8" s="37" t="s">
        <v>1393</v>
      </c>
      <c r="B8" s="38" t="s">
        <v>1382</v>
      </c>
      <c r="C8" s="38" t="s">
        <v>1383</v>
      </c>
      <c r="D8" s="38" t="s">
        <v>1394</v>
      </c>
      <c r="E8" s="38" t="s">
        <v>1395</v>
      </c>
      <c r="F8" s="39" t="s">
        <v>1387</v>
      </c>
    </row>
    <row r="9" spans="1:21">
      <c r="A9" s="3" t="s">
        <v>635</v>
      </c>
      <c r="B9" s="2">
        <f>COUNTIF(D23:D116,A9)</f>
        <v>1</v>
      </c>
      <c r="C9" s="2">
        <f>COUNTIFS(D23:D116,A9,N23:N116,"Done")</f>
        <v>1</v>
      </c>
      <c r="D9" s="35">
        <f t="shared" ref="D9:D19" si="0">IF(B9=0,0,C9/B9)</f>
        <v>1</v>
      </c>
      <c r="E9" s="2">
        <f>SUMIF(D23:D116,A9,K23:K116)</f>
        <v>2</v>
      </c>
      <c r="F9" s="4">
        <f>SUMIFS(K23:K116,D23:D116,A9)-SUMPRODUCT((D23:D116=A9)*K23:K116*O23:O116)</f>
        <v>0</v>
      </c>
    </row>
    <row r="10" spans="1:21">
      <c r="A10" s="3" t="s">
        <v>637</v>
      </c>
      <c r="B10" s="2">
        <f>COUNTIF(D23:D116,A10)</f>
        <v>5</v>
      </c>
      <c r="C10" s="2">
        <f>COUNTIFS(D23:D116,A10,N23:N116,"Done")</f>
        <v>5</v>
      </c>
      <c r="D10" s="35">
        <f t="shared" si="0"/>
        <v>1</v>
      </c>
      <c r="E10" s="2">
        <f>SUMIF(D23:D116,A10,K23:K116)</f>
        <v>21</v>
      </c>
      <c r="F10" s="4">
        <f>SUMIFS(K23:K116,D23:D116,A10)-SUMPRODUCT((D23:D116=A10)*K23:K116*O23:O116)</f>
        <v>0</v>
      </c>
    </row>
    <row r="11" spans="1:21">
      <c r="A11" s="3" t="s">
        <v>638</v>
      </c>
      <c r="B11" s="2">
        <f>COUNTIF(D23:D116,A11)</f>
        <v>6</v>
      </c>
      <c r="C11" s="2">
        <f>COUNTIFS(D23:D116,A11,N23:N116,"Done")</f>
        <v>0</v>
      </c>
      <c r="D11" s="35">
        <f t="shared" si="0"/>
        <v>0</v>
      </c>
      <c r="E11" s="2">
        <f>SUMIF(D23:D116,A11,K23:K116)</f>
        <v>19</v>
      </c>
      <c r="F11" s="4">
        <f>SUMIFS(K23:K116,D23:D116,A11)-SUMPRODUCT((D23:D116=A11)*K23:K116*O23:O116)</f>
        <v>19</v>
      </c>
    </row>
    <row r="12" spans="1:21">
      <c r="A12" s="3" t="s">
        <v>639</v>
      </c>
      <c r="B12" s="2">
        <f>COUNTIF(D23:D116,A12)</f>
        <v>8</v>
      </c>
      <c r="C12" s="2">
        <f>COUNTIFS(D23:D116,A12,N23:N116,"Done")</f>
        <v>0</v>
      </c>
      <c r="D12" s="35">
        <f t="shared" si="0"/>
        <v>0</v>
      </c>
      <c r="E12" s="2">
        <f>SUMIF(D23:D116,A12,K23:K116)</f>
        <v>21</v>
      </c>
      <c r="F12" s="4">
        <f>SUMIFS(K23:K116,D23:D116,A12)-SUMPRODUCT((D23:D116=A12)*K23:K116*O23:O116)</f>
        <v>21</v>
      </c>
    </row>
    <row r="13" spans="1:21">
      <c r="A13" s="3" t="s">
        <v>640</v>
      </c>
      <c r="B13" s="2">
        <f>COUNTIF(D23:D116,A13)</f>
        <v>20</v>
      </c>
      <c r="C13" s="2">
        <f>COUNTIFS(D23:D116,A13,N23:N116,"Done")</f>
        <v>0</v>
      </c>
      <c r="D13" s="35">
        <f t="shared" si="0"/>
        <v>0</v>
      </c>
      <c r="E13" s="2">
        <f>SUMIF(D23:D116,A13,K23:K116)</f>
        <v>84</v>
      </c>
      <c r="F13" s="4">
        <f>SUMIFS(K23:K116,D23:D116,A13)-SUMPRODUCT((D23:D116=A13)*K23:K116*O23:O116)</f>
        <v>84</v>
      </c>
    </row>
    <row r="14" spans="1:21">
      <c r="A14" s="3" t="s">
        <v>641</v>
      </c>
      <c r="B14" s="2">
        <f>COUNTIF(D23:D116,A14)</f>
        <v>7</v>
      </c>
      <c r="C14" s="2">
        <f>COUNTIFS(D23:D116,A14,N23:N116,"Done")</f>
        <v>0</v>
      </c>
      <c r="D14" s="35">
        <f t="shared" si="0"/>
        <v>0</v>
      </c>
      <c r="E14" s="2">
        <f>SUMIF(D23:D116,A14,K23:K116)</f>
        <v>24</v>
      </c>
      <c r="F14" s="4">
        <f>SUMIFS(K23:K116,D23:D116,A14)-SUMPRODUCT((D23:D116=A14)*K23:K116*O23:O116)</f>
        <v>24</v>
      </c>
    </row>
    <row r="15" spans="1:21">
      <c r="A15" s="3" t="s">
        <v>642</v>
      </c>
      <c r="B15" s="2">
        <f>COUNTIF(D23:D116,A15)</f>
        <v>7</v>
      </c>
      <c r="C15" s="2">
        <f>COUNTIFS(D23:D116,A15,N23:N116,"Done")</f>
        <v>0</v>
      </c>
      <c r="D15" s="35">
        <f t="shared" si="0"/>
        <v>0</v>
      </c>
      <c r="E15" s="2">
        <f>SUMIF(D23:D116,A15,K23:K116)</f>
        <v>24</v>
      </c>
      <c r="F15" s="4">
        <f>SUMIFS(K23:K116,D23:D116,A15)-SUMPRODUCT((D23:D116=A15)*K23:K116*O23:O116)</f>
        <v>24</v>
      </c>
    </row>
    <row r="16" spans="1:21">
      <c r="A16" s="3" t="s">
        <v>643</v>
      </c>
      <c r="B16" s="2">
        <f>COUNTIF(D23:D116,A16)</f>
        <v>8</v>
      </c>
      <c r="C16" s="2">
        <f>COUNTIFS(D23:D116,A16,N23:N116,"Done")</f>
        <v>0</v>
      </c>
      <c r="D16" s="35">
        <f t="shared" si="0"/>
        <v>0</v>
      </c>
      <c r="E16" s="2">
        <f>SUMIF(D23:D116,A16,K23:K116)</f>
        <v>21</v>
      </c>
      <c r="F16" s="4">
        <f>SUMIFS(K23:K116,D23:D116,A16)-SUMPRODUCT((D23:D116=A16)*K23:K116*O23:O116)</f>
        <v>21</v>
      </c>
    </row>
    <row r="17" spans="1:21">
      <c r="A17" s="3" t="s">
        <v>644</v>
      </c>
      <c r="B17" s="2">
        <f>COUNTIF(D23:D116,A17)</f>
        <v>17</v>
      </c>
      <c r="C17" s="2">
        <f>COUNTIFS(D23:D116,A17,N23:N116,"Done")</f>
        <v>0</v>
      </c>
      <c r="D17" s="35">
        <f t="shared" si="0"/>
        <v>0</v>
      </c>
      <c r="E17" s="2">
        <f>SUMIF(D23:D116,A17,K23:K116)</f>
        <v>51</v>
      </c>
      <c r="F17" s="4">
        <f>SUMIFS(K23:K116,D23:D116,A17)-SUMPRODUCT((D23:D116=A17)*K23:K116*O23:O116)</f>
        <v>51</v>
      </c>
    </row>
    <row r="18" spans="1:21">
      <c r="A18" s="3" t="s">
        <v>645</v>
      </c>
      <c r="B18" s="2">
        <f>COUNTIF(D23:D116,A18)</f>
        <v>8</v>
      </c>
      <c r="C18" s="2">
        <f>COUNTIFS(D23:D116,A18,N23:N116,"Done")</f>
        <v>0</v>
      </c>
      <c r="D18" s="35">
        <f t="shared" si="0"/>
        <v>0</v>
      </c>
      <c r="E18" s="2">
        <f>SUMIF(D23:D116,A18,K23:K116)</f>
        <v>33</v>
      </c>
      <c r="F18" s="4">
        <f>SUMIFS(K23:K116,D23:D116,A18)-SUMPRODUCT((D23:D116=A18)*K23:K116*O23:O116)</f>
        <v>33</v>
      </c>
    </row>
    <row r="19" spans="1:21">
      <c r="A19" s="5" t="s">
        <v>646</v>
      </c>
      <c r="B19" s="6">
        <f>COUNTIF(D23:D116,A19)</f>
        <v>7</v>
      </c>
      <c r="C19" s="6">
        <f>COUNTIFS(D23:D116,A19,N23:N116,"Done")</f>
        <v>0</v>
      </c>
      <c r="D19" s="36">
        <f t="shared" si="0"/>
        <v>0</v>
      </c>
      <c r="E19" s="6">
        <f>SUMIF(D23:D116,A19,K23:K116)</f>
        <v>34</v>
      </c>
      <c r="F19" s="7">
        <f>SUMIFS(K23:K116,D23:D116,A19)-SUMPRODUCT((D23:D116=A19)*K23:K116*O23:O116)</f>
        <v>34</v>
      </c>
    </row>
    <row r="22" spans="1:21" ht="32.1" customHeight="1">
      <c r="A22" s="24" t="s">
        <v>1396</v>
      </c>
      <c r="B22" s="24" t="s">
        <v>1397</v>
      </c>
      <c r="C22" s="24" t="s">
        <v>1398</v>
      </c>
      <c r="D22" s="24" t="s">
        <v>1393</v>
      </c>
      <c r="E22" s="24" t="s">
        <v>648</v>
      </c>
      <c r="F22" s="24" t="s">
        <v>5</v>
      </c>
      <c r="G22" s="24" t="s">
        <v>3</v>
      </c>
      <c r="H22" s="24" t="s">
        <v>1399</v>
      </c>
      <c r="I22" s="24" t="s">
        <v>1400</v>
      </c>
      <c r="J22" s="24" t="s">
        <v>1401</v>
      </c>
      <c r="K22" s="24" t="s">
        <v>1395</v>
      </c>
      <c r="L22" s="24" t="s">
        <v>1402</v>
      </c>
      <c r="M22" s="24" t="s">
        <v>1403</v>
      </c>
      <c r="N22" s="24" t="s">
        <v>1404</v>
      </c>
      <c r="O22" s="24" t="s">
        <v>1405</v>
      </c>
      <c r="P22" s="24" t="s">
        <v>1406</v>
      </c>
      <c r="Q22" s="24" t="s">
        <v>1407</v>
      </c>
      <c r="R22" s="24" t="s">
        <v>1408</v>
      </c>
      <c r="S22" s="24" t="s">
        <v>1409</v>
      </c>
      <c r="T22" s="24" t="s">
        <v>1410</v>
      </c>
      <c r="U22" s="24" t="s">
        <v>1411</v>
      </c>
    </row>
    <row r="23" spans="1:21" ht="42" customHeight="1">
      <c r="A23" s="8">
        <v>1</v>
      </c>
      <c r="B23" s="9" t="s">
        <v>1412</v>
      </c>
      <c r="C23" s="9">
        <v>1</v>
      </c>
      <c r="D23" s="9" t="s">
        <v>635</v>
      </c>
      <c r="E23" s="9" t="s">
        <v>660</v>
      </c>
      <c r="F23" s="9" t="s">
        <v>17</v>
      </c>
      <c r="G23" s="9" t="s">
        <v>661</v>
      </c>
      <c r="H23" s="9" t="s">
        <v>16</v>
      </c>
      <c r="I23" s="9" t="s">
        <v>1413</v>
      </c>
      <c r="J23" s="9" t="s">
        <v>1414</v>
      </c>
      <c r="K23" s="9">
        <v>2</v>
      </c>
      <c r="L23" s="29">
        <f t="shared" ref="L23:L54" si="1">$B$3+(C23-1)*7</f>
        <v>46230</v>
      </c>
      <c r="M23" s="29">
        <f t="shared" ref="M23:M54" si="2">L23+6</f>
        <v>46236</v>
      </c>
      <c r="N23" s="9" t="s">
        <v>1383</v>
      </c>
      <c r="O23" s="32">
        <f>IF(N23="Done",1,IF(N23="Review",0.9,IF(N23="In Progress",0.5,IF(N23="Blocked",0.25,0))))</f>
        <v>1</v>
      </c>
      <c r="P23" s="9" t="s">
        <v>1415</v>
      </c>
      <c r="Q23" s="9" t="s">
        <v>1415</v>
      </c>
      <c r="R23" s="9" t="s">
        <v>1415</v>
      </c>
      <c r="S23" s="9" t="s">
        <v>1416</v>
      </c>
      <c r="T23" s="29"/>
      <c r="U23" s="10"/>
    </row>
    <row r="24" spans="1:21" ht="42" customHeight="1">
      <c r="A24" s="11">
        <v>2</v>
      </c>
      <c r="B24" s="12" t="s">
        <v>1412</v>
      </c>
      <c r="C24" s="12">
        <v>1</v>
      </c>
      <c r="D24" s="12" t="s">
        <v>637</v>
      </c>
      <c r="E24" s="12" t="s">
        <v>672</v>
      </c>
      <c r="F24" s="12" t="s">
        <v>30</v>
      </c>
      <c r="G24" s="12" t="s">
        <v>673</v>
      </c>
      <c r="H24" s="12" t="s">
        <v>29</v>
      </c>
      <c r="I24" s="12" t="s">
        <v>1417</v>
      </c>
      <c r="J24" s="12" t="s">
        <v>1414</v>
      </c>
      <c r="K24" s="12">
        <v>6</v>
      </c>
      <c r="L24" s="30">
        <f t="shared" si="1"/>
        <v>46230</v>
      </c>
      <c r="M24" s="30">
        <f t="shared" si="2"/>
        <v>46236</v>
      </c>
      <c r="N24" s="12" t="s">
        <v>1383</v>
      </c>
      <c r="O24" s="33">
        <f t="shared" ref="O23:O54" si="3">IF(N24="Done",1,IF(N24="Review",0.9,IF(N24="In Progress",0.5,IF(N24="Blocked",0.25,0))))</f>
        <v>1</v>
      </c>
      <c r="P24" s="12" t="s">
        <v>1415</v>
      </c>
      <c r="Q24" s="12" t="s">
        <v>1415</v>
      </c>
      <c r="R24" s="12" t="s">
        <v>1415</v>
      </c>
      <c r="S24" s="12" t="s">
        <v>1416</v>
      </c>
      <c r="T24" s="30"/>
      <c r="U24" s="13"/>
    </row>
    <row r="25" spans="1:21" ht="42" customHeight="1">
      <c r="A25" s="11">
        <v>3</v>
      </c>
      <c r="B25" s="12" t="s">
        <v>1412</v>
      </c>
      <c r="C25" s="12">
        <v>1</v>
      </c>
      <c r="D25" s="12" t="s">
        <v>637</v>
      </c>
      <c r="E25" s="12" t="s">
        <v>682</v>
      </c>
      <c r="F25" s="12" t="s">
        <v>30</v>
      </c>
      <c r="G25" s="12" t="s">
        <v>683</v>
      </c>
      <c r="H25" s="12" t="s">
        <v>39</v>
      </c>
      <c r="I25" s="12" t="s">
        <v>672</v>
      </c>
      <c r="J25" s="12" t="s">
        <v>1414</v>
      </c>
      <c r="K25" s="12">
        <v>5</v>
      </c>
      <c r="L25" s="30">
        <f t="shared" si="1"/>
        <v>46230</v>
      </c>
      <c r="M25" s="30">
        <f t="shared" si="2"/>
        <v>46236</v>
      </c>
      <c r="N25" s="12" t="s">
        <v>1383</v>
      </c>
      <c r="O25" s="33">
        <f t="shared" si="3"/>
        <v>1</v>
      </c>
      <c r="P25" s="12" t="s">
        <v>1415</v>
      </c>
      <c r="Q25" s="12" t="s">
        <v>1415</v>
      </c>
      <c r="R25" s="12" t="s">
        <v>1415</v>
      </c>
      <c r="S25" s="12" t="s">
        <v>1416</v>
      </c>
      <c r="T25" s="30"/>
      <c r="U25" s="13"/>
    </row>
    <row r="26" spans="1:21" ht="42" customHeight="1">
      <c r="A26" s="11">
        <v>4</v>
      </c>
      <c r="B26" s="12" t="s">
        <v>1412</v>
      </c>
      <c r="C26" s="12">
        <v>1</v>
      </c>
      <c r="D26" s="12" t="s">
        <v>637</v>
      </c>
      <c r="E26" s="12" t="s">
        <v>691</v>
      </c>
      <c r="F26" s="12" t="s">
        <v>30</v>
      </c>
      <c r="G26" s="12" t="s">
        <v>692</v>
      </c>
      <c r="H26" s="12" t="s">
        <v>46</v>
      </c>
      <c r="I26" s="12" t="s">
        <v>682</v>
      </c>
      <c r="J26" s="12" t="s">
        <v>1414</v>
      </c>
      <c r="K26" s="12">
        <v>4</v>
      </c>
      <c r="L26" s="30">
        <f t="shared" si="1"/>
        <v>46230</v>
      </c>
      <c r="M26" s="30">
        <f t="shared" si="2"/>
        <v>46236</v>
      </c>
      <c r="N26" s="12" t="s">
        <v>1383</v>
      </c>
      <c r="O26" s="33">
        <f t="shared" si="3"/>
        <v>1</v>
      </c>
      <c r="P26" s="12" t="s">
        <v>1415</v>
      </c>
      <c r="Q26" s="12" t="s">
        <v>1415</v>
      </c>
      <c r="R26" s="12" t="s">
        <v>1415</v>
      </c>
      <c r="S26" s="12" t="s">
        <v>1416</v>
      </c>
      <c r="T26" s="30"/>
      <c r="U26" s="13"/>
    </row>
    <row r="27" spans="1:21" ht="42" customHeight="1">
      <c r="A27" s="11">
        <v>5</v>
      </c>
      <c r="B27" s="12" t="s">
        <v>1412</v>
      </c>
      <c r="C27" s="12">
        <v>1</v>
      </c>
      <c r="D27" s="12" t="s">
        <v>637</v>
      </c>
      <c r="E27" s="12" t="s">
        <v>701</v>
      </c>
      <c r="F27" s="12" t="s">
        <v>30</v>
      </c>
      <c r="G27" s="12" t="s">
        <v>702</v>
      </c>
      <c r="H27" s="12" t="s">
        <v>55</v>
      </c>
      <c r="I27" s="12" t="s">
        <v>691</v>
      </c>
      <c r="J27" s="12" t="s">
        <v>1414</v>
      </c>
      <c r="K27" s="12">
        <v>2</v>
      </c>
      <c r="L27" s="30">
        <f t="shared" si="1"/>
        <v>46230</v>
      </c>
      <c r="M27" s="30">
        <f t="shared" si="2"/>
        <v>46236</v>
      </c>
      <c r="N27" s="12" t="s">
        <v>1383</v>
      </c>
      <c r="O27" s="33">
        <f t="shared" si="3"/>
        <v>1</v>
      </c>
      <c r="P27" s="12" t="s">
        <v>1415</v>
      </c>
      <c r="Q27" s="12" t="s">
        <v>1415</v>
      </c>
      <c r="R27" s="12" t="s">
        <v>1415</v>
      </c>
      <c r="S27" s="12" t="s">
        <v>1416</v>
      </c>
      <c r="T27" s="30"/>
      <c r="U27" s="13"/>
    </row>
    <row r="28" spans="1:21" ht="42" customHeight="1">
      <c r="A28" s="11">
        <v>6</v>
      </c>
      <c r="B28" s="12" t="s">
        <v>1412</v>
      </c>
      <c r="C28" s="12">
        <v>1</v>
      </c>
      <c r="D28" s="12" t="s">
        <v>637</v>
      </c>
      <c r="E28" s="12" t="s">
        <v>710</v>
      </c>
      <c r="F28" s="12" t="s">
        <v>64</v>
      </c>
      <c r="G28" s="12" t="s">
        <v>711</v>
      </c>
      <c r="H28" s="12" t="s">
        <v>63</v>
      </c>
      <c r="I28" s="12" t="s">
        <v>701</v>
      </c>
      <c r="J28" s="12" t="s">
        <v>1418</v>
      </c>
      <c r="K28" s="12">
        <v>4</v>
      </c>
      <c r="L28" s="30">
        <f t="shared" si="1"/>
        <v>46230</v>
      </c>
      <c r="M28" s="30">
        <f t="shared" si="2"/>
        <v>46236</v>
      </c>
      <c r="N28" s="12" t="s">
        <v>1383</v>
      </c>
      <c r="O28" s="33">
        <f t="shared" si="3"/>
        <v>1</v>
      </c>
      <c r="P28" s="12" t="s">
        <v>1415</v>
      </c>
      <c r="Q28" s="12" t="s">
        <v>1415</v>
      </c>
      <c r="R28" s="12" t="s">
        <v>1415</v>
      </c>
      <c r="S28" s="12" t="s">
        <v>1416</v>
      </c>
      <c r="T28" s="30"/>
      <c r="U28" s="13"/>
    </row>
    <row r="29" spans="1:21" ht="42" customHeight="1">
      <c r="A29" s="11">
        <v>7</v>
      </c>
      <c r="B29" s="12" t="s">
        <v>1412</v>
      </c>
      <c r="C29" s="12">
        <v>2</v>
      </c>
      <c r="D29" s="12" t="s">
        <v>638</v>
      </c>
      <c r="E29" s="12" t="s">
        <v>718</v>
      </c>
      <c r="F29" s="12" t="s">
        <v>17</v>
      </c>
      <c r="G29" s="12" t="s">
        <v>719</v>
      </c>
      <c r="H29" s="12" t="s">
        <v>75</v>
      </c>
      <c r="I29" s="12" t="s">
        <v>1419</v>
      </c>
      <c r="J29" s="12" t="s">
        <v>1414</v>
      </c>
      <c r="K29" s="12">
        <v>2</v>
      </c>
      <c r="L29" s="30">
        <f t="shared" si="1"/>
        <v>46237</v>
      </c>
      <c r="M29" s="30">
        <f t="shared" si="2"/>
        <v>46243</v>
      </c>
      <c r="N29" s="12" t="s">
        <v>1415</v>
      </c>
      <c r="O29" s="33">
        <f t="shared" si="3"/>
        <v>0</v>
      </c>
      <c r="P29" s="12" t="s">
        <v>1415</v>
      </c>
      <c r="Q29" s="12" t="s">
        <v>1415</v>
      </c>
      <c r="R29" s="12" t="s">
        <v>1415</v>
      </c>
      <c r="S29" s="12" t="s">
        <v>1416</v>
      </c>
      <c r="T29" s="30"/>
      <c r="U29" s="13"/>
    </row>
    <row r="30" spans="1:21" ht="42" customHeight="1">
      <c r="A30" s="11">
        <v>8</v>
      </c>
      <c r="B30" s="12" t="s">
        <v>1412</v>
      </c>
      <c r="C30" s="12">
        <v>2</v>
      </c>
      <c r="D30" s="12" t="s">
        <v>638</v>
      </c>
      <c r="E30" s="12" t="s">
        <v>726</v>
      </c>
      <c r="F30" s="12" t="s">
        <v>64</v>
      </c>
      <c r="G30" s="12" t="s">
        <v>719</v>
      </c>
      <c r="H30" s="12" t="s">
        <v>81</v>
      </c>
      <c r="I30" s="12" t="s">
        <v>718</v>
      </c>
      <c r="J30" s="12" t="s">
        <v>1414</v>
      </c>
      <c r="K30" s="12">
        <v>3</v>
      </c>
      <c r="L30" s="30">
        <f t="shared" si="1"/>
        <v>46237</v>
      </c>
      <c r="M30" s="30">
        <f t="shared" si="2"/>
        <v>46243</v>
      </c>
      <c r="N30" s="12" t="s">
        <v>1415</v>
      </c>
      <c r="O30" s="33">
        <f t="shared" si="3"/>
        <v>0</v>
      </c>
      <c r="P30" s="12" t="s">
        <v>1415</v>
      </c>
      <c r="Q30" s="12" t="s">
        <v>1415</v>
      </c>
      <c r="R30" s="12" t="s">
        <v>1415</v>
      </c>
      <c r="S30" s="12" t="s">
        <v>1416</v>
      </c>
      <c r="T30" s="30"/>
      <c r="U30" s="13"/>
    </row>
    <row r="31" spans="1:21" ht="42" customHeight="1">
      <c r="A31" s="11">
        <v>9</v>
      </c>
      <c r="B31" s="12" t="s">
        <v>1412</v>
      </c>
      <c r="C31" s="12">
        <v>2</v>
      </c>
      <c r="D31" s="12" t="s">
        <v>638</v>
      </c>
      <c r="E31" s="12" t="s">
        <v>735</v>
      </c>
      <c r="F31" s="12" t="s">
        <v>17</v>
      </c>
      <c r="G31" s="12" t="s">
        <v>736</v>
      </c>
      <c r="H31" s="12" t="s">
        <v>89</v>
      </c>
      <c r="I31" s="12" t="s">
        <v>726</v>
      </c>
      <c r="J31" s="12" t="s">
        <v>1418</v>
      </c>
      <c r="K31" s="12">
        <v>4</v>
      </c>
      <c r="L31" s="30">
        <f t="shared" si="1"/>
        <v>46237</v>
      </c>
      <c r="M31" s="30">
        <f t="shared" si="2"/>
        <v>46243</v>
      </c>
      <c r="N31" s="12" t="s">
        <v>1415</v>
      </c>
      <c r="O31" s="33">
        <f t="shared" si="3"/>
        <v>0</v>
      </c>
      <c r="P31" s="12" t="s">
        <v>1415</v>
      </c>
      <c r="Q31" s="12" t="s">
        <v>1415</v>
      </c>
      <c r="R31" s="12" t="s">
        <v>1415</v>
      </c>
      <c r="S31" s="12" t="s">
        <v>1416</v>
      </c>
      <c r="T31" s="30"/>
      <c r="U31" s="13"/>
    </row>
    <row r="32" spans="1:21" ht="42" customHeight="1">
      <c r="A32" s="11">
        <v>10</v>
      </c>
      <c r="B32" s="12" t="s">
        <v>1412</v>
      </c>
      <c r="C32" s="12">
        <v>2</v>
      </c>
      <c r="D32" s="12" t="s">
        <v>638</v>
      </c>
      <c r="E32" s="12" t="s">
        <v>745</v>
      </c>
      <c r="F32" s="12" t="s">
        <v>17</v>
      </c>
      <c r="G32" s="12" t="s">
        <v>746</v>
      </c>
      <c r="H32" s="12" t="s">
        <v>97</v>
      </c>
      <c r="I32" s="12" t="s">
        <v>735</v>
      </c>
      <c r="J32" s="12" t="s">
        <v>1418</v>
      </c>
      <c r="K32" s="12">
        <v>3</v>
      </c>
      <c r="L32" s="30">
        <f t="shared" si="1"/>
        <v>46237</v>
      </c>
      <c r="M32" s="30">
        <f t="shared" si="2"/>
        <v>46243</v>
      </c>
      <c r="N32" s="12" t="s">
        <v>1415</v>
      </c>
      <c r="O32" s="33">
        <f t="shared" si="3"/>
        <v>0</v>
      </c>
      <c r="P32" s="12" t="s">
        <v>1415</v>
      </c>
      <c r="Q32" s="12" t="s">
        <v>1415</v>
      </c>
      <c r="R32" s="12" t="s">
        <v>1415</v>
      </c>
      <c r="S32" s="12" t="s">
        <v>1416</v>
      </c>
      <c r="T32" s="30"/>
      <c r="U32" s="13"/>
    </row>
    <row r="33" spans="1:21" ht="42" customHeight="1">
      <c r="A33" s="11">
        <v>11</v>
      </c>
      <c r="B33" s="12" t="s">
        <v>1412</v>
      </c>
      <c r="C33" s="12">
        <v>2</v>
      </c>
      <c r="D33" s="12" t="s">
        <v>638</v>
      </c>
      <c r="E33" s="12" t="s">
        <v>753</v>
      </c>
      <c r="F33" s="12" t="s">
        <v>64</v>
      </c>
      <c r="G33" s="12" t="s">
        <v>754</v>
      </c>
      <c r="H33" s="12" t="s">
        <v>104</v>
      </c>
      <c r="I33" s="12" t="s">
        <v>745</v>
      </c>
      <c r="J33" s="12" t="s">
        <v>1418</v>
      </c>
      <c r="K33" s="12">
        <v>3</v>
      </c>
      <c r="L33" s="30">
        <f t="shared" si="1"/>
        <v>46237</v>
      </c>
      <c r="M33" s="30">
        <f t="shared" si="2"/>
        <v>46243</v>
      </c>
      <c r="N33" s="12" t="s">
        <v>1415</v>
      </c>
      <c r="O33" s="33">
        <f t="shared" si="3"/>
        <v>0</v>
      </c>
      <c r="P33" s="12" t="s">
        <v>1415</v>
      </c>
      <c r="Q33" s="12" t="s">
        <v>1415</v>
      </c>
      <c r="R33" s="12" t="s">
        <v>1415</v>
      </c>
      <c r="S33" s="12" t="s">
        <v>1416</v>
      </c>
      <c r="T33" s="30"/>
      <c r="U33" s="13"/>
    </row>
    <row r="34" spans="1:21" ht="42" customHeight="1">
      <c r="A34" s="11">
        <v>12</v>
      </c>
      <c r="B34" s="12" t="s">
        <v>1412</v>
      </c>
      <c r="C34" s="12">
        <v>2</v>
      </c>
      <c r="D34" s="12" t="s">
        <v>638</v>
      </c>
      <c r="E34" s="12" t="s">
        <v>763</v>
      </c>
      <c r="F34" s="12" t="s">
        <v>64</v>
      </c>
      <c r="G34" s="12" t="s">
        <v>764</v>
      </c>
      <c r="H34" s="12" t="s">
        <v>112</v>
      </c>
      <c r="I34" s="12" t="s">
        <v>753</v>
      </c>
      <c r="J34" s="12" t="s">
        <v>1420</v>
      </c>
      <c r="K34" s="12">
        <v>4</v>
      </c>
      <c r="L34" s="30">
        <f t="shared" si="1"/>
        <v>46237</v>
      </c>
      <c r="M34" s="30">
        <f t="shared" si="2"/>
        <v>46243</v>
      </c>
      <c r="N34" s="12" t="s">
        <v>1415</v>
      </c>
      <c r="O34" s="33">
        <f t="shared" si="3"/>
        <v>0</v>
      </c>
      <c r="P34" s="12" t="s">
        <v>1415</v>
      </c>
      <c r="Q34" s="12" t="s">
        <v>1415</v>
      </c>
      <c r="R34" s="12" t="s">
        <v>1415</v>
      </c>
      <c r="S34" s="12" t="s">
        <v>1416</v>
      </c>
      <c r="T34" s="30"/>
      <c r="U34" s="13"/>
    </row>
    <row r="35" spans="1:21" ht="42" customHeight="1">
      <c r="A35" s="11">
        <v>13</v>
      </c>
      <c r="B35" s="12" t="s">
        <v>1412</v>
      </c>
      <c r="C35" s="12">
        <v>2</v>
      </c>
      <c r="D35" s="12" t="s">
        <v>639</v>
      </c>
      <c r="E35" s="12" t="s">
        <v>772</v>
      </c>
      <c r="F35" s="12" t="s">
        <v>17</v>
      </c>
      <c r="G35" s="12" t="s">
        <v>773</v>
      </c>
      <c r="H35" s="12" t="s">
        <v>122</v>
      </c>
      <c r="I35" s="12" t="s">
        <v>1421</v>
      </c>
      <c r="J35" s="12" t="s">
        <v>1414</v>
      </c>
      <c r="K35" s="12">
        <v>2</v>
      </c>
      <c r="L35" s="30">
        <f t="shared" si="1"/>
        <v>46237</v>
      </c>
      <c r="M35" s="30">
        <f t="shared" si="2"/>
        <v>46243</v>
      </c>
      <c r="N35" s="12" t="s">
        <v>1415</v>
      </c>
      <c r="O35" s="33">
        <f t="shared" si="3"/>
        <v>0</v>
      </c>
      <c r="P35" s="12" t="s">
        <v>1415</v>
      </c>
      <c r="Q35" s="12" t="s">
        <v>1415</v>
      </c>
      <c r="R35" s="12" t="s">
        <v>1415</v>
      </c>
      <c r="S35" s="12" t="s">
        <v>1416</v>
      </c>
      <c r="T35" s="30"/>
      <c r="U35" s="13"/>
    </row>
    <row r="36" spans="1:21" ht="42" customHeight="1">
      <c r="A36" s="11">
        <v>14</v>
      </c>
      <c r="B36" s="12" t="s">
        <v>1412</v>
      </c>
      <c r="C36" s="12">
        <v>2</v>
      </c>
      <c r="D36" s="12" t="s">
        <v>639</v>
      </c>
      <c r="E36" s="12" t="s">
        <v>781</v>
      </c>
      <c r="F36" s="12" t="s">
        <v>17</v>
      </c>
      <c r="G36" s="12" t="s">
        <v>782</v>
      </c>
      <c r="H36" s="12" t="s">
        <v>129</v>
      </c>
      <c r="I36" s="12" t="s">
        <v>772</v>
      </c>
      <c r="J36" s="12" t="s">
        <v>1418</v>
      </c>
      <c r="K36" s="12">
        <v>2</v>
      </c>
      <c r="L36" s="30">
        <f t="shared" si="1"/>
        <v>46237</v>
      </c>
      <c r="M36" s="30">
        <f t="shared" si="2"/>
        <v>46243</v>
      </c>
      <c r="N36" s="12" t="s">
        <v>1415</v>
      </c>
      <c r="O36" s="33">
        <f t="shared" si="3"/>
        <v>0</v>
      </c>
      <c r="P36" s="12" t="s">
        <v>1415</v>
      </c>
      <c r="Q36" s="12" t="s">
        <v>1415</v>
      </c>
      <c r="R36" s="12" t="s">
        <v>1415</v>
      </c>
      <c r="S36" s="12" t="s">
        <v>1416</v>
      </c>
      <c r="T36" s="30"/>
      <c r="U36" s="13"/>
    </row>
    <row r="37" spans="1:21" ht="42" customHeight="1">
      <c r="A37" s="11">
        <v>15</v>
      </c>
      <c r="B37" s="12" t="s">
        <v>1412</v>
      </c>
      <c r="C37" s="12">
        <v>2</v>
      </c>
      <c r="D37" s="12" t="s">
        <v>639</v>
      </c>
      <c r="E37" s="12" t="s">
        <v>789</v>
      </c>
      <c r="F37" s="12" t="s">
        <v>17</v>
      </c>
      <c r="G37" s="12" t="s">
        <v>790</v>
      </c>
      <c r="H37" s="12" t="s">
        <v>136</v>
      </c>
      <c r="I37" s="12" t="s">
        <v>781</v>
      </c>
      <c r="J37" s="12" t="s">
        <v>1418</v>
      </c>
      <c r="K37" s="12">
        <v>3</v>
      </c>
      <c r="L37" s="30">
        <f t="shared" si="1"/>
        <v>46237</v>
      </c>
      <c r="M37" s="30">
        <f t="shared" si="2"/>
        <v>46243</v>
      </c>
      <c r="N37" s="12" t="s">
        <v>1415</v>
      </c>
      <c r="O37" s="33">
        <f t="shared" si="3"/>
        <v>0</v>
      </c>
      <c r="P37" s="12" t="s">
        <v>1415</v>
      </c>
      <c r="Q37" s="12" t="s">
        <v>1415</v>
      </c>
      <c r="R37" s="12" t="s">
        <v>1415</v>
      </c>
      <c r="S37" s="12" t="s">
        <v>1416</v>
      </c>
      <c r="T37" s="30"/>
      <c r="U37" s="13"/>
    </row>
    <row r="38" spans="1:21" ht="42" customHeight="1">
      <c r="A38" s="11">
        <v>16</v>
      </c>
      <c r="B38" s="12" t="s">
        <v>1412</v>
      </c>
      <c r="C38" s="12">
        <v>2</v>
      </c>
      <c r="D38" s="12" t="s">
        <v>639</v>
      </c>
      <c r="E38" s="12" t="s">
        <v>796</v>
      </c>
      <c r="F38" s="12" t="s">
        <v>17</v>
      </c>
      <c r="G38" s="12" t="s">
        <v>797</v>
      </c>
      <c r="H38" s="12" t="s">
        <v>142</v>
      </c>
      <c r="I38" s="12" t="s">
        <v>789</v>
      </c>
      <c r="J38" s="12" t="s">
        <v>1418</v>
      </c>
      <c r="K38" s="12">
        <v>2</v>
      </c>
      <c r="L38" s="30">
        <f t="shared" si="1"/>
        <v>46237</v>
      </c>
      <c r="M38" s="30">
        <f t="shared" si="2"/>
        <v>46243</v>
      </c>
      <c r="N38" s="12" t="s">
        <v>1415</v>
      </c>
      <c r="O38" s="33">
        <f t="shared" si="3"/>
        <v>0</v>
      </c>
      <c r="P38" s="12" t="s">
        <v>1415</v>
      </c>
      <c r="Q38" s="12" t="s">
        <v>1415</v>
      </c>
      <c r="R38" s="12" t="s">
        <v>1415</v>
      </c>
      <c r="S38" s="12" t="s">
        <v>1416</v>
      </c>
      <c r="T38" s="30"/>
      <c r="U38" s="13"/>
    </row>
    <row r="39" spans="1:21" ht="42" customHeight="1">
      <c r="A39" s="11">
        <v>17</v>
      </c>
      <c r="B39" s="12" t="s">
        <v>1412</v>
      </c>
      <c r="C39" s="12">
        <v>2</v>
      </c>
      <c r="D39" s="12" t="s">
        <v>639</v>
      </c>
      <c r="E39" s="12" t="s">
        <v>805</v>
      </c>
      <c r="F39" s="12" t="s">
        <v>30</v>
      </c>
      <c r="G39" s="12" t="s">
        <v>790</v>
      </c>
      <c r="H39" s="12" t="s">
        <v>147</v>
      </c>
      <c r="I39" s="12" t="s">
        <v>796</v>
      </c>
      <c r="J39" s="12" t="s">
        <v>1414</v>
      </c>
      <c r="K39" s="12">
        <v>4</v>
      </c>
      <c r="L39" s="30">
        <f t="shared" si="1"/>
        <v>46237</v>
      </c>
      <c r="M39" s="30">
        <f t="shared" si="2"/>
        <v>46243</v>
      </c>
      <c r="N39" s="12" t="s">
        <v>1415</v>
      </c>
      <c r="O39" s="33">
        <f t="shared" si="3"/>
        <v>0</v>
      </c>
      <c r="P39" s="12" t="s">
        <v>1415</v>
      </c>
      <c r="Q39" s="12" t="s">
        <v>1415</v>
      </c>
      <c r="R39" s="12" t="s">
        <v>1415</v>
      </c>
      <c r="S39" s="12" t="s">
        <v>1416</v>
      </c>
      <c r="T39" s="30"/>
      <c r="U39" s="13"/>
    </row>
    <row r="40" spans="1:21" ht="42" customHeight="1">
      <c r="A40" s="11">
        <v>18</v>
      </c>
      <c r="B40" s="12" t="s">
        <v>1412</v>
      </c>
      <c r="C40" s="12">
        <v>2</v>
      </c>
      <c r="D40" s="12" t="s">
        <v>639</v>
      </c>
      <c r="E40" s="12" t="s">
        <v>813</v>
      </c>
      <c r="F40" s="12" t="s">
        <v>64</v>
      </c>
      <c r="G40" s="12" t="s">
        <v>797</v>
      </c>
      <c r="H40" s="12" t="s">
        <v>153</v>
      </c>
      <c r="I40" s="12" t="s">
        <v>805</v>
      </c>
      <c r="J40" s="12" t="s">
        <v>1414</v>
      </c>
      <c r="K40" s="12">
        <v>3</v>
      </c>
      <c r="L40" s="30">
        <f t="shared" si="1"/>
        <v>46237</v>
      </c>
      <c r="M40" s="30">
        <f t="shared" si="2"/>
        <v>46243</v>
      </c>
      <c r="N40" s="12" t="s">
        <v>1415</v>
      </c>
      <c r="O40" s="33">
        <f t="shared" si="3"/>
        <v>0</v>
      </c>
      <c r="P40" s="12" t="s">
        <v>1415</v>
      </c>
      <c r="Q40" s="12" t="s">
        <v>1415</v>
      </c>
      <c r="R40" s="12" t="s">
        <v>1415</v>
      </c>
      <c r="S40" s="12" t="s">
        <v>1416</v>
      </c>
      <c r="T40" s="30"/>
      <c r="U40" s="13"/>
    </row>
    <row r="41" spans="1:21" ht="42" customHeight="1">
      <c r="A41" s="11">
        <v>19</v>
      </c>
      <c r="B41" s="12" t="s">
        <v>1412</v>
      </c>
      <c r="C41" s="12">
        <v>2</v>
      </c>
      <c r="D41" s="12" t="s">
        <v>639</v>
      </c>
      <c r="E41" s="12" t="s">
        <v>819</v>
      </c>
      <c r="F41" s="12" t="s">
        <v>64</v>
      </c>
      <c r="G41" s="12" t="s">
        <v>820</v>
      </c>
      <c r="H41" s="12" t="s">
        <v>159</v>
      </c>
      <c r="I41" s="12" t="s">
        <v>813</v>
      </c>
      <c r="J41" s="12" t="s">
        <v>1418</v>
      </c>
      <c r="K41" s="12">
        <v>3</v>
      </c>
      <c r="L41" s="30">
        <f t="shared" si="1"/>
        <v>46237</v>
      </c>
      <c r="M41" s="30">
        <f t="shared" si="2"/>
        <v>46243</v>
      </c>
      <c r="N41" s="12" t="s">
        <v>1415</v>
      </c>
      <c r="O41" s="33">
        <f t="shared" si="3"/>
        <v>0</v>
      </c>
      <c r="P41" s="12" t="s">
        <v>1415</v>
      </c>
      <c r="Q41" s="12" t="s">
        <v>1415</v>
      </c>
      <c r="R41" s="12" t="s">
        <v>1415</v>
      </c>
      <c r="S41" s="12" t="s">
        <v>1416</v>
      </c>
      <c r="T41" s="30"/>
      <c r="U41" s="13"/>
    </row>
    <row r="42" spans="1:21" ht="42" customHeight="1">
      <c r="A42" s="11">
        <v>20</v>
      </c>
      <c r="B42" s="12" t="s">
        <v>1412</v>
      </c>
      <c r="C42" s="12">
        <v>2</v>
      </c>
      <c r="D42" s="12" t="s">
        <v>639</v>
      </c>
      <c r="E42" s="12" t="s">
        <v>829</v>
      </c>
      <c r="F42" s="12" t="s">
        <v>166</v>
      </c>
      <c r="G42" s="12" t="s">
        <v>797</v>
      </c>
      <c r="H42" s="12" t="s">
        <v>165</v>
      </c>
      <c r="I42" s="12" t="s">
        <v>819</v>
      </c>
      <c r="J42" s="12" t="s">
        <v>1420</v>
      </c>
      <c r="K42" s="12">
        <v>2</v>
      </c>
      <c r="L42" s="30">
        <f t="shared" si="1"/>
        <v>46237</v>
      </c>
      <c r="M42" s="30">
        <f t="shared" si="2"/>
        <v>46243</v>
      </c>
      <c r="N42" s="12" t="s">
        <v>1415</v>
      </c>
      <c r="O42" s="33">
        <f t="shared" si="3"/>
        <v>0</v>
      </c>
      <c r="P42" s="12" t="s">
        <v>1415</v>
      </c>
      <c r="Q42" s="12" t="s">
        <v>1415</v>
      </c>
      <c r="R42" s="12" t="s">
        <v>1415</v>
      </c>
      <c r="S42" s="12" t="s">
        <v>1416</v>
      </c>
      <c r="T42" s="30"/>
      <c r="U42" s="13"/>
    </row>
    <row r="43" spans="1:21" ht="42" customHeight="1">
      <c r="A43" s="11">
        <v>21</v>
      </c>
      <c r="B43" s="12" t="s">
        <v>1422</v>
      </c>
      <c r="C43" s="12">
        <v>3</v>
      </c>
      <c r="D43" s="12" t="s">
        <v>640</v>
      </c>
      <c r="E43" s="12" t="s">
        <v>835</v>
      </c>
      <c r="F43" s="12" t="s">
        <v>17</v>
      </c>
      <c r="G43" s="12" t="s">
        <v>836</v>
      </c>
      <c r="H43" s="12" t="s">
        <v>175</v>
      </c>
      <c r="I43" s="12" t="s">
        <v>1423</v>
      </c>
      <c r="J43" s="12" t="s">
        <v>1414</v>
      </c>
      <c r="K43" s="12">
        <v>4</v>
      </c>
      <c r="L43" s="30">
        <f t="shared" si="1"/>
        <v>46244</v>
      </c>
      <c r="M43" s="30">
        <f t="shared" si="2"/>
        <v>46250</v>
      </c>
      <c r="N43" s="12" t="s">
        <v>1415</v>
      </c>
      <c r="O43" s="33">
        <f t="shared" si="3"/>
        <v>0</v>
      </c>
      <c r="P43" s="12" t="s">
        <v>1415</v>
      </c>
      <c r="Q43" s="12" t="s">
        <v>1415</v>
      </c>
      <c r="R43" s="12" t="s">
        <v>1415</v>
      </c>
      <c r="S43" s="12" t="s">
        <v>1416</v>
      </c>
      <c r="T43" s="30"/>
      <c r="U43" s="13"/>
    </row>
    <row r="44" spans="1:21" ht="42" customHeight="1">
      <c r="A44" s="11">
        <v>22</v>
      </c>
      <c r="B44" s="12" t="s">
        <v>1422</v>
      </c>
      <c r="C44" s="12">
        <v>3</v>
      </c>
      <c r="D44" s="12" t="s">
        <v>640</v>
      </c>
      <c r="E44" s="12" t="s">
        <v>841</v>
      </c>
      <c r="F44" s="12" t="s">
        <v>17</v>
      </c>
      <c r="G44" s="12" t="s">
        <v>842</v>
      </c>
      <c r="H44" s="12" t="s">
        <v>180</v>
      </c>
      <c r="I44" s="12" t="s">
        <v>835</v>
      </c>
      <c r="J44" s="12" t="s">
        <v>1414</v>
      </c>
      <c r="K44" s="12">
        <v>3</v>
      </c>
      <c r="L44" s="30">
        <f t="shared" si="1"/>
        <v>46244</v>
      </c>
      <c r="M44" s="30">
        <f t="shared" si="2"/>
        <v>46250</v>
      </c>
      <c r="N44" s="12" t="s">
        <v>1415</v>
      </c>
      <c r="O44" s="33">
        <f t="shared" si="3"/>
        <v>0</v>
      </c>
      <c r="P44" s="12" t="s">
        <v>1415</v>
      </c>
      <c r="Q44" s="12" t="s">
        <v>1415</v>
      </c>
      <c r="R44" s="12" t="s">
        <v>1415</v>
      </c>
      <c r="S44" s="12" t="s">
        <v>1416</v>
      </c>
      <c r="T44" s="30"/>
      <c r="U44" s="13"/>
    </row>
    <row r="45" spans="1:21" ht="42" customHeight="1">
      <c r="A45" s="11">
        <v>23</v>
      </c>
      <c r="B45" s="12" t="s">
        <v>1422</v>
      </c>
      <c r="C45" s="12">
        <v>3</v>
      </c>
      <c r="D45" s="12" t="s">
        <v>640</v>
      </c>
      <c r="E45" s="12" t="s">
        <v>849</v>
      </c>
      <c r="F45" s="12" t="s">
        <v>17</v>
      </c>
      <c r="G45" s="12" t="s">
        <v>850</v>
      </c>
      <c r="H45" s="12" t="s">
        <v>186</v>
      </c>
      <c r="I45" s="12" t="s">
        <v>841</v>
      </c>
      <c r="J45" s="12" t="s">
        <v>1414</v>
      </c>
      <c r="K45" s="12">
        <v>4</v>
      </c>
      <c r="L45" s="30">
        <f t="shared" si="1"/>
        <v>46244</v>
      </c>
      <c r="M45" s="30">
        <f t="shared" si="2"/>
        <v>46250</v>
      </c>
      <c r="N45" s="12" t="s">
        <v>1415</v>
      </c>
      <c r="O45" s="33">
        <f t="shared" si="3"/>
        <v>0</v>
      </c>
      <c r="P45" s="12" t="s">
        <v>1415</v>
      </c>
      <c r="Q45" s="12" t="s">
        <v>1415</v>
      </c>
      <c r="R45" s="12" t="s">
        <v>1415</v>
      </c>
      <c r="S45" s="12" t="s">
        <v>1416</v>
      </c>
      <c r="T45" s="30"/>
      <c r="U45" s="13"/>
    </row>
    <row r="46" spans="1:21" ht="42" customHeight="1">
      <c r="A46" s="11">
        <v>24</v>
      </c>
      <c r="B46" s="12" t="s">
        <v>1422</v>
      </c>
      <c r="C46" s="12">
        <v>3</v>
      </c>
      <c r="D46" s="12" t="s">
        <v>640</v>
      </c>
      <c r="E46" s="12" t="s">
        <v>855</v>
      </c>
      <c r="F46" s="12" t="s">
        <v>17</v>
      </c>
      <c r="G46" s="12" t="s">
        <v>856</v>
      </c>
      <c r="H46" s="12" t="s">
        <v>191</v>
      </c>
      <c r="I46" s="12" t="s">
        <v>849</v>
      </c>
      <c r="J46" s="12" t="s">
        <v>1414</v>
      </c>
      <c r="K46" s="12">
        <v>3</v>
      </c>
      <c r="L46" s="30">
        <f t="shared" si="1"/>
        <v>46244</v>
      </c>
      <c r="M46" s="30">
        <f t="shared" si="2"/>
        <v>46250</v>
      </c>
      <c r="N46" s="12" t="s">
        <v>1415</v>
      </c>
      <c r="O46" s="33">
        <f t="shared" si="3"/>
        <v>0</v>
      </c>
      <c r="P46" s="12" t="s">
        <v>1415</v>
      </c>
      <c r="Q46" s="12" t="s">
        <v>1415</v>
      </c>
      <c r="R46" s="12" t="s">
        <v>1415</v>
      </c>
      <c r="S46" s="12" t="s">
        <v>1416</v>
      </c>
      <c r="T46" s="30"/>
      <c r="U46" s="13"/>
    </row>
    <row r="47" spans="1:21" ht="42" customHeight="1">
      <c r="A47" s="11">
        <v>25</v>
      </c>
      <c r="B47" s="12" t="s">
        <v>1422</v>
      </c>
      <c r="C47" s="12">
        <v>3</v>
      </c>
      <c r="D47" s="12" t="s">
        <v>640</v>
      </c>
      <c r="E47" s="12" t="s">
        <v>864</v>
      </c>
      <c r="F47" s="12" t="s">
        <v>30</v>
      </c>
      <c r="G47" s="12" t="s">
        <v>850</v>
      </c>
      <c r="H47" s="12" t="s">
        <v>196</v>
      </c>
      <c r="I47" s="12" t="s">
        <v>855</v>
      </c>
      <c r="J47" s="12" t="s">
        <v>1414</v>
      </c>
      <c r="K47" s="12">
        <v>6</v>
      </c>
      <c r="L47" s="30">
        <f t="shared" si="1"/>
        <v>46244</v>
      </c>
      <c r="M47" s="30">
        <f t="shared" si="2"/>
        <v>46250</v>
      </c>
      <c r="N47" s="12" t="s">
        <v>1415</v>
      </c>
      <c r="O47" s="33">
        <f t="shared" si="3"/>
        <v>0</v>
      </c>
      <c r="P47" s="12" t="s">
        <v>1415</v>
      </c>
      <c r="Q47" s="12" t="s">
        <v>1415</v>
      </c>
      <c r="R47" s="12" t="s">
        <v>1415</v>
      </c>
      <c r="S47" s="12" t="s">
        <v>1416</v>
      </c>
      <c r="T47" s="30"/>
      <c r="U47" s="13"/>
    </row>
    <row r="48" spans="1:21" ht="42" customHeight="1">
      <c r="A48" s="11">
        <v>26</v>
      </c>
      <c r="B48" s="12" t="s">
        <v>1422</v>
      </c>
      <c r="C48" s="12">
        <v>3</v>
      </c>
      <c r="D48" s="12" t="s">
        <v>640</v>
      </c>
      <c r="E48" s="12" t="s">
        <v>873</v>
      </c>
      <c r="F48" s="12" t="s">
        <v>64</v>
      </c>
      <c r="G48" s="12" t="s">
        <v>856</v>
      </c>
      <c r="H48" s="12" t="s">
        <v>203</v>
      </c>
      <c r="I48" s="12" t="s">
        <v>864</v>
      </c>
      <c r="J48" s="12" t="s">
        <v>1414</v>
      </c>
      <c r="K48" s="12">
        <v>6</v>
      </c>
      <c r="L48" s="30">
        <f t="shared" si="1"/>
        <v>46244</v>
      </c>
      <c r="M48" s="30">
        <f t="shared" si="2"/>
        <v>46250</v>
      </c>
      <c r="N48" s="12" t="s">
        <v>1415</v>
      </c>
      <c r="O48" s="33">
        <f t="shared" si="3"/>
        <v>0</v>
      </c>
      <c r="P48" s="12" t="s">
        <v>1415</v>
      </c>
      <c r="Q48" s="12" t="s">
        <v>1415</v>
      </c>
      <c r="R48" s="12" t="s">
        <v>1415</v>
      </c>
      <c r="S48" s="12" t="s">
        <v>1416</v>
      </c>
      <c r="T48" s="30"/>
      <c r="U48" s="13"/>
    </row>
    <row r="49" spans="1:21" ht="42" customHeight="1">
      <c r="A49" s="11">
        <v>27</v>
      </c>
      <c r="B49" s="12" t="s">
        <v>1422</v>
      </c>
      <c r="C49" s="12">
        <v>3</v>
      </c>
      <c r="D49" s="12" t="s">
        <v>640</v>
      </c>
      <c r="E49" s="12" t="s">
        <v>881</v>
      </c>
      <c r="F49" s="12" t="s">
        <v>166</v>
      </c>
      <c r="G49" s="12" t="s">
        <v>856</v>
      </c>
      <c r="H49" s="12" t="s">
        <v>210</v>
      </c>
      <c r="I49" s="12" t="s">
        <v>873</v>
      </c>
      <c r="J49" s="12" t="s">
        <v>1420</v>
      </c>
      <c r="K49" s="12">
        <v>3</v>
      </c>
      <c r="L49" s="30">
        <f t="shared" si="1"/>
        <v>46244</v>
      </c>
      <c r="M49" s="30">
        <f t="shared" si="2"/>
        <v>46250</v>
      </c>
      <c r="N49" s="12" t="s">
        <v>1415</v>
      </c>
      <c r="O49" s="33">
        <f t="shared" si="3"/>
        <v>0</v>
      </c>
      <c r="P49" s="12" t="s">
        <v>1415</v>
      </c>
      <c r="Q49" s="12" t="s">
        <v>1415</v>
      </c>
      <c r="R49" s="12" t="s">
        <v>1415</v>
      </c>
      <c r="S49" s="12" t="s">
        <v>1416</v>
      </c>
      <c r="T49" s="30"/>
      <c r="U49" s="13"/>
    </row>
    <row r="50" spans="1:21" ht="42" customHeight="1">
      <c r="A50" s="11">
        <v>28</v>
      </c>
      <c r="B50" s="12" t="s">
        <v>1422</v>
      </c>
      <c r="C50" s="12">
        <v>4</v>
      </c>
      <c r="D50" s="12" t="s">
        <v>640</v>
      </c>
      <c r="E50" s="12" t="s">
        <v>886</v>
      </c>
      <c r="F50" s="12" t="s">
        <v>30</v>
      </c>
      <c r="G50" s="12" t="s">
        <v>887</v>
      </c>
      <c r="H50" s="12" t="s">
        <v>215</v>
      </c>
      <c r="I50" s="12" t="s">
        <v>881</v>
      </c>
      <c r="J50" s="12" t="s">
        <v>1414</v>
      </c>
      <c r="K50" s="12">
        <v>8</v>
      </c>
      <c r="L50" s="30">
        <f t="shared" si="1"/>
        <v>46251</v>
      </c>
      <c r="M50" s="30">
        <f t="shared" si="2"/>
        <v>46257</v>
      </c>
      <c r="N50" s="12" t="s">
        <v>1415</v>
      </c>
      <c r="O50" s="33">
        <f t="shared" si="3"/>
        <v>0</v>
      </c>
      <c r="P50" s="12" t="s">
        <v>1415</v>
      </c>
      <c r="Q50" s="12" t="s">
        <v>1415</v>
      </c>
      <c r="R50" s="12" t="s">
        <v>1415</v>
      </c>
      <c r="S50" s="12" t="s">
        <v>1416</v>
      </c>
      <c r="T50" s="30"/>
      <c r="U50" s="13"/>
    </row>
    <row r="51" spans="1:21" ht="42" customHeight="1">
      <c r="A51" s="11">
        <v>29</v>
      </c>
      <c r="B51" s="12" t="s">
        <v>1422</v>
      </c>
      <c r="C51" s="12">
        <v>4</v>
      </c>
      <c r="D51" s="12" t="s">
        <v>640</v>
      </c>
      <c r="E51" s="12" t="s">
        <v>896</v>
      </c>
      <c r="F51" s="12" t="s">
        <v>17</v>
      </c>
      <c r="G51" s="12" t="s">
        <v>897</v>
      </c>
      <c r="H51" s="12" t="s">
        <v>223</v>
      </c>
      <c r="I51" s="12" t="s">
        <v>886</v>
      </c>
      <c r="J51" s="12" t="s">
        <v>1414</v>
      </c>
      <c r="K51" s="12">
        <v>3</v>
      </c>
      <c r="L51" s="30">
        <f t="shared" si="1"/>
        <v>46251</v>
      </c>
      <c r="M51" s="30">
        <f t="shared" si="2"/>
        <v>46257</v>
      </c>
      <c r="N51" s="12" t="s">
        <v>1415</v>
      </c>
      <c r="O51" s="33">
        <f t="shared" si="3"/>
        <v>0</v>
      </c>
      <c r="P51" s="12" t="s">
        <v>1415</v>
      </c>
      <c r="Q51" s="12" t="s">
        <v>1415</v>
      </c>
      <c r="R51" s="12" t="s">
        <v>1415</v>
      </c>
      <c r="S51" s="12" t="s">
        <v>1416</v>
      </c>
      <c r="T51" s="30"/>
      <c r="U51" s="13"/>
    </row>
    <row r="52" spans="1:21" ht="42" customHeight="1">
      <c r="A52" s="11">
        <v>30</v>
      </c>
      <c r="B52" s="12" t="s">
        <v>1422</v>
      </c>
      <c r="C52" s="12">
        <v>4</v>
      </c>
      <c r="D52" s="12" t="s">
        <v>640</v>
      </c>
      <c r="E52" s="12" t="s">
        <v>903</v>
      </c>
      <c r="F52" s="12" t="s">
        <v>17</v>
      </c>
      <c r="G52" s="12" t="s">
        <v>904</v>
      </c>
      <c r="H52" s="12" t="s">
        <v>229</v>
      </c>
      <c r="I52" s="12" t="s">
        <v>896</v>
      </c>
      <c r="J52" s="12" t="s">
        <v>1414</v>
      </c>
      <c r="K52" s="12">
        <v>3</v>
      </c>
      <c r="L52" s="30">
        <f t="shared" si="1"/>
        <v>46251</v>
      </c>
      <c r="M52" s="30">
        <f t="shared" si="2"/>
        <v>46257</v>
      </c>
      <c r="N52" s="12" t="s">
        <v>1415</v>
      </c>
      <c r="O52" s="33">
        <f t="shared" si="3"/>
        <v>0</v>
      </c>
      <c r="P52" s="12" t="s">
        <v>1415</v>
      </c>
      <c r="Q52" s="12" t="s">
        <v>1415</v>
      </c>
      <c r="R52" s="12" t="s">
        <v>1415</v>
      </c>
      <c r="S52" s="12" t="s">
        <v>1416</v>
      </c>
      <c r="T52" s="30"/>
      <c r="U52" s="13"/>
    </row>
    <row r="53" spans="1:21" ht="42" customHeight="1">
      <c r="A53" s="11">
        <v>31</v>
      </c>
      <c r="B53" s="12" t="s">
        <v>1422</v>
      </c>
      <c r="C53" s="12">
        <v>4</v>
      </c>
      <c r="D53" s="12" t="s">
        <v>640</v>
      </c>
      <c r="E53" s="12" t="s">
        <v>912</v>
      </c>
      <c r="F53" s="12" t="s">
        <v>64</v>
      </c>
      <c r="G53" s="12" t="s">
        <v>904</v>
      </c>
      <c r="H53" s="12" t="s">
        <v>235</v>
      </c>
      <c r="I53" s="12" t="s">
        <v>903</v>
      </c>
      <c r="J53" s="12" t="s">
        <v>1414</v>
      </c>
      <c r="K53" s="12">
        <v>3</v>
      </c>
      <c r="L53" s="30">
        <f t="shared" si="1"/>
        <v>46251</v>
      </c>
      <c r="M53" s="30">
        <f t="shared" si="2"/>
        <v>46257</v>
      </c>
      <c r="N53" s="12" t="s">
        <v>1415</v>
      </c>
      <c r="O53" s="33">
        <f t="shared" si="3"/>
        <v>0</v>
      </c>
      <c r="P53" s="12" t="s">
        <v>1415</v>
      </c>
      <c r="Q53" s="12" t="s">
        <v>1415</v>
      </c>
      <c r="R53" s="12" t="s">
        <v>1415</v>
      </c>
      <c r="S53" s="12" t="s">
        <v>1416</v>
      </c>
      <c r="T53" s="30"/>
      <c r="U53" s="13"/>
    </row>
    <row r="54" spans="1:21" ht="42" customHeight="1">
      <c r="A54" s="11">
        <v>32</v>
      </c>
      <c r="B54" s="12" t="s">
        <v>1422</v>
      </c>
      <c r="C54" s="12">
        <v>4</v>
      </c>
      <c r="D54" s="12" t="s">
        <v>640</v>
      </c>
      <c r="E54" s="12" t="s">
        <v>921</v>
      </c>
      <c r="F54" s="12" t="s">
        <v>30</v>
      </c>
      <c r="G54" s="12" t="s">
        <v>922</v>
      </c>
      <c r="H54" s="12" t="s">
        <v>242</v>
      </c>
      <c r="I54" s="12" t="s">
        <v>912</v>
      </c>
      <c r="J54" s="12" t="s">
        <v>1414</v>
      </c>
      <c r="K54" s="12">
        <v>8</v>
      </c>
      <c r="L54" s="30">
        <f t="shared" si="1"/>
        <v>46251</v>
      </c>
      <c r="M54" s="30">
        <f t="shared" si="2"/>
        <v>46257</v>
      </c>
      <c r="N54" s="12" t="s">
        <v>1415</v>
      </c>
      <c r="O54" s="33">
        <f t="shared" si="3"/>
        <v>0</v>
      </c>
      <c r="P54" s="12" t="s">
        <v>1415</v>
      </c>
      <c r="Q54" s="12" t="s">
        <v>1415</v>
      </c>
      <c r="R54" s="12" t="s">
        <v>1415</v>
      </c>
      <c r="S54" s="12" t="s">
        <v>1416</v>
      </c>
      <c r="T54" s="30"/>
      <c r="U54" s="13"/>
    </row>
    <row r="55" spans="1:21" ht="42" customHeight="1">
      <c r="A55" s="11">
        <v>33</v>
      </c>
      <c r="B55" s="12" t="s">
        <v>1422</v>
      </c>
      <c r="C55" s="12">
        <v>5</v>
      </c>
      <c r="D55" s="12" t="s">
        <v>640</v>
      </c>
      <c r="E55" s="12" t="s">
        <v>931</v>
      </c>
      <c r="F55" s="12" t="s">
        <v>17</v>
      </c>
      <c r="G55" s="12" t="s">
        <v>932</v>
      </c>
      <c r="H55" s="12" t="s">
        <v>250</v>
      </c>
      <c r="I55" s="12" t="s">
        <v>921</v>
      </c>
      <c r="J55" s="12" t="s">
        <v>1414</v>
      </c>
      <c r="K55" s="12">
        <v>4</v>
      </c>
      <c r="L55" s="30">
        <f t="shared" ref="L55:L86" si="4">$B$3+(C55-1)*7</f>
        <v>46258</v>
      </c>
      <c r="M55" s="30">
        <f t="shared" ref="M55:M86" si="5">L55+6</f>
        <v>46264</v>
      </c>
      <c r="N55" s="12" t="s">
        <v>1415</v>
      </c>
      <c r="O55" s="33">
        <f t="shared" ref="O55:O86" si="6">IF(N55="Done",1,IF(N55="Review",0.9,IF(N55="In Progress",0.5,IF(N55="Blocked",0.25,0))))</f>
        <v>0</v>
      </c>
      <c r="P55" s="12" t="s">
        <v>1415</v>
      </c>
      <c r="Q55" s="12" t="s">
        <v>1415</v>
      </c>
      <c r="R55" s="12" t="s">
        <v>1415</v>
      </c>
      <c r="S55" s="12" t="s">
        <v>1416</v>
      </c>
      <c r="T55" s="30"/>
      <c r="U55" s="13"/>
    </row>
    <row r="56" spans="1:21" ht="42" customHeight="1">
      <c r="A56" s="11">
        <v>34</v>
      </c>
      <c r="B56" s="12" t="s">
        <v>1422</v>
      </c>
      <c r="C56" s="12">
        <v>5</v>
      </c>
      <c r="D56" s="12" t="s">
        <v>640</v>
      </c>
      <c r="E56" s="12" t="s">
        <v>937</v>
      </c>
      <c r="F56" s="12" t="s">
        <v>17</v>
      </c>
      <c r="G56" s="12" t="s">
        <v>938</v>
      </c>
      <c r="H56" s="12" t="s">
        <v>255</v>
      </c>
      <c r="I56" s="12" t="s">
        <v>931</v>
      </c>
      <c r="J56" s="12" t="s">
        <v>1414</v>
      </c>
      <c r="K56" s="12">
        <v>2</v>
      </c>
      <c r="L56" s="30">
        <f t="shared" si="4"/>
        <v>46258</v>
      </c>
      <c r="M56" s="30">
        <f t="shared" si="5"/>
        <v>46264</v>
      </c>
      <c r="N56" s="12" t="s">
        <v>1415</v>
      </c>
      <c r="O56" s="33">
        <f t="shared" si="6"/>
        <v>0</v>
      </c>
      <c r="P56" s="12" t="s">
        <v>1415</v>
      </c>
      <c r="Q56" s="12" t="s">
        <v>1415</v>
      </c>
      <c r="R56" s="12" t="s">
        <v>1415</v>
      </c>
      <c r="S56" s="12" t="s">
        <v>1416</v>
      </c>
      <c r="T56" s="30"/>
      <c r="U56" s="13"/>
    </row>
    <row r="57" spans="1:21" ht="42" customHeight="1">
      <c r="A57" s="11">
        <v>35</v>
      </c>
      <c r="B57" s="12" t="s">
        <v>1422</v>
      </c>
      <c r="C57" s="12">
        <v>5</v>
      </c>
      <c r="D57" s="12" t="s">
        <v>640</v>
      </c>
      <c r="E57" s="12" t="s">
        <v>945</v>
      </c>
      <c r="F57" s="12" t="s">
        <v>64</v>
      </c>
      <c r="G57" s="12" t="s">
        <v>938</v>
      </c>
      <c r="H57" s="12" t="s">
        <v>260</v>
      </c>
      <c r="I57" s="12" t="s">
        <v>937</v>
      </c>
      <c r="J57" s="12" t="s">
        <v>1414</v>
      </c>
      <c r="K57" s="12">
        <v>6</v>
      </c>
      <c r="L57" s="30">
        <f t="shared" si="4"/>
        <v>46258</v>
      </c>
      <c r="M57" s="30">
        <f t="shared" si="5"/>
        <v>46264</v>
      </c>
      <c r="N57" s="12" t="s">
        <v>1415</v>
      </c>
      <c r="O57" s="33">
        <f t="shared" si="6"/>
        <v>0</v>
      </c>
      <c r="P57" s="12" t="s">
        <v>1415</v>
      </c>
      <c r="Q57" s="12" t="s">
        <v>1415</v>
      </c>
      <c r="R57" s="12" t="s">
        <v>1415</v>
      </c>
      <c r="S57" s="12" t="s">
        <v>1416</v>
      </c>
      <c r="T57" s="30"/>
      <c r="U57" s="13"/>
    </row>
    <row r="58" spans="1:21" ht="42" customHeight="1">
      <c r="A58" s="11">
        <v>36</v>
      </c>
      <c r="B58" s="12" t="s">
        <v>1422</v>
      </c>
      <c r="C58" s="12">
        <v>5</v>
      </c>
      <c r="D58" s="12" t="s">
        <v>640</v>
      </c>
      <c r="E58" s="12" t="s">
        <v>953</v>
      </c>
      <c r="F58" s="12" t="s">
        <v>166</v>
      </c>
      <c r="G58" s="12" t="s">
        <v>938</v>
      </c>
      <c r="H58" s="12" t="s">
        <v>266</v>
      </c>
      <c r="I58" s="12" t="s">
        <v>945</v>
      </c>
      <c r="J58" s="12" t="s">
        <v>1418</v>
      </c>
      <c r="K58" s="12">
        <v>4</v>
      </c>
      <c r="L58" s="30">
        <f t="shared" si="4"/>
        <v>46258</v>
      </c>
      <c r="M58" s="30">
        <f t="shared" si="5"/>
        <v>46264</v>
      </c>
      <c r="N58" s="12" t="s">
        <v>1415</v>
      </c>
      <c r="O58" s="33">
        <f t="shared" si="6"/>
        <v>0</v>
      </c>
      <c r="P58" s="12" t="s">
        <v>1415</v>
      </c>
      <c r="Q58" s="12" t="s">
        <v>1415</v>
      </c>
      <c r="R58" s="12" t="s">
        <v>1415</v>
      </c>
      <c r="S58" s="12" t="s">
        <v>1416</v>
      </c>
      <c r="T58" s="30"/>
      <c r="U58" s="13"/>
    </row>
    <row r="59" spans="1:21" ht="42" customHeight="1">
      <c r="A59" s="11">
        <v>37</v>
      </c>
      <c r="B59" s="12" t="s">
        <v>1422</v>
      </c>
      <c r="C59" s="12">
        <v>5</v>
      </c>
      <c r="D59" s="12" t="s">
        <v>640</v>
      </c>
      <c r="E59" s="12" t="s">
        <v>958</v>
      </c>
      <c r="F59" s="12" t="s">
        <v>30</v>
      </c>
      <c r="G59" s="12" t="s">
        <v>959</v>
      </c>
      <c r="H59" s="12" t="s">
        <v>272</v>
      </c>
      <c r="I59" s="12" t="s">
        <v>953</v>
      </c>
      <c r="J59" s="12" t="s">
        <v>1414</v>
      </c>
      <c r="K59" s="12">
        <v>5</v>
      </c>
      <c r="L59" s="30">
        <f t="shared" si="4"/>
        <v>46258</v>
      </c>
      <c r="M59" s="30">
        <f t="shared" si="5"/>
        <v>46264</v>
      </c>
      <c r="N59" s="12" t="s">
        <v>1415</v>
      </c>
      <c r="O59" s="33">
        <f t="shared" si="6"/>
        <v>0</v>
      </c>
      <c r="P59" s="12" t="s">
        <v>1415</v>
      </c>
      <c r="Q59" s="12" t="s">
        <v>1415</v>
      </c>
      <c r="R59" s="12" t="s">
        <v>1415</v>
      </c>
      <c r="S59" s="12" t="s">
        <v>1416</v>
      </c>
      <c r="T59" s="30"/>
      <c r="U59" s="13"/>
    </row>
    <row r="60" spans="1:21" ht="42" customHeight="1">
      <c r="A60" s="11">
        <v>38</v>
      </c>
      <c r="B60" s="12" t="s">
        <v>1422</v>
      </c>
      <c r="C60" s="12">
        <v>5</v>
      </c>
      <c r="D60" s="12" t="s">
        <v>640</v>
      </c>
      <c r="E60" s="12" t="s">
        <v>966</v>
      </c>
      <c r="F60" s="12" t="s">
        <v>30</v>
      </c>
      <c r="G60" s="12" t="s">
        <v>967</v>
      </c>
      <c r="H60" s="12" t="s">
        <v>278</v>
      </c>
      <c r="I60" s="12" t="s">
        <v>958</v>
      </c>
      <c r="J60" s="12" t="s">
        <v>1418</v>
      </c>
      <c r="K60" s="12">
        <v>3</v>
      </c>
      <c r="L60" s="30">
        <f t="shared" si="4"/>
        <v>46258</v>
      </c>
      <c r="M60" s="30">
        <f t="shared" si="5"/>
        <v>46264</v>
      </c>
      <c r="N60" s="12" t="s">
        <v>1415</v>
      </c>
      <c r="O60" s="33">
        <f t="shared" si="6"/>
        <v>0</v>
      </c>
      <c r="P60" s="12" t="s">
        <v>1415</v>
      </c>
      <c r="Q60" s="12" t="s">
        <v>1415</v>
      </c>
      <c r="R60" s="12" t="s">
        <v>1415</v>
      </c>
      <c r="S60" s="12" t="s">
        <v>1416</v>
      </c>
      <c r="T60" s="30"/>
      <c r="U60" s="13"/>
    </row>
    <row r="61" spans="1:21" ht="42" customHeight="1">
      <c r="A61" s="11">
        <v>39</v>
      </c>
      <c r="B61" s="12" t="s">
        <v>1422</v>
      </c>
      <c r="C61" s="12">
        <v>5</v>
      </c>
      <c r="D61" s="12" t="s">
        <v>640</v>
      </c>
      <c r="E61" s="12" t="s">
        <v>974</v>
      </c>
      <c r="F61" s="12" t="s">
        <v>30</v>
      </c>
      <c r="G61" s="12" t="s">
        <v>975</v>
      </c>
      <c r="H61" s="12" t="s">
        <v>284</v>
      </c>
      <c r="I61" s="12" t="s">
        <v>966</v>
      </c>
      <c r="J61" s="12" t="s">
        <v>1420</v>
      </c>
      <c r="K61" s="12">
        <v>2</v>
      </c>
      <c r="L61" s="30">
        <f t="shared" si="4"/>
        <v>46258</v>
      </c>
      <c r="M61" s="30">
        <f t="shared" si="5"/>
        <v>46264</v>
      </c>
      <c r="N61" s="12" t="s">
        <v>1415</v>
      </c>
      <c r="O61" s="33">
        <f t="shared" si="6"/>
        <v>0</v>
      </c>
      <c r="P61" s="12" t="s">
        <v>1415</v>
      </c>
      <c r="Q61" s="12" t="s">
        <v>1415</v>
      </c>
      <c r="R61" s="12" t="s">
        <v>1415</v>
      </c>
      <c r="S61" s="12" t="s">
        <v>1416</v>
      </c>
      <c r="T61" s="30"/>
      <c r="U61" s="13"/>
    </row>
    <row r="62" spans="1:21" ht="42" customHeight="1">
      <c r="A62" s="11">
        <v>40</v>
      </c>
      <c r="B62" s="12" t="s">
        <v>1422</v>
      </c>
      <c r="C62" s="12">
        <v>5</v>
      </c>
      <c r="D62" s="12" t="s">
        <v>640</v>
      </c>
      <c r="E62" s="12" t="s">
        <v>981</v>
      </c>
      <c r="F62" s="12" t="s">
        <v>17</v>
      </c>
      <c r="G62" s="12" t="s">
        <v>982</v>
      </c>
      <c r="H62" s="12" t="s">
        <v>290</v>
      </c>
      <c r="I62" s="12" t="s">
        <v>974</v>
      </c>
      <c r="J62" s="12" t="s">
        <v>1418</v>
      </c>
      <c r="K62" s="12">
        <v>4</v>
      </c>
      <c r="L62" s="30">
        <f t="shared" si="4"/>
        <v>46258</v>
      </c>
      <c r="M62" s="30">
        <f t="shared" si="5"/>
        <v>46264</v>
      </c>
      <c r="N62" s="12" t="s">
        <v>1415</v>
      </c>
      <c r="O62" s="33">
        <f t="shared" si="6"/>
        <v>0</v>
      </c>
      <c r="P62" s="12" t="s">
        <v>1415</v>
      </c>
      <c r="Q62" s="12" t="s">
        <v>1415</v>
      </c>
      <c r="R62" s="12" t="s">
        <v>1415</v>
      </c>
      <c r="S62" s="12" t="s">
        <v>1416</v>
      </c>
      <c r="T62" s="30"/>
      <c r="U62" s="13"/>
    </row>
    <row r="63" spans="1:21" ht="42" customHeight="1">
      <c r="A63" s="11">
        <v>41</v>
      </c>
      <c r="B63" s="12" t="s">
        <v>1424</v>
      </c>
      <c r="C63" s="12">
        <v>6</v>
      </c>
      <c r="D63" s="12" t="s">
        <v>641</v>
      </c>
      <c r="E63" s="12" t="s">
        <v>990</v>
      </c>
      <c r="F63" s="12" t="s">
        <v>17</v>
      </c>
      <c r="G63" s="12" t="s">
        <v>991</v>
      </c>
      <c r="H63" s="12" t="s">
        <v>300</v>
      </c>
      <c r="I63" s="12" t="s">
        <v>958</v>
      </c>
      <c r="J63" s="12" t="s">
        <v>1414</v>
      </c>
      <c r="K63" s="12">
        <v>6</v>
      </c>
      <c r="L63" s="30">
        <f t="shared" si="4"/>
        <v>46265</v>
      </c>
      <c r="M63" s="30">
        <f t="shared" si="5"/>
        <v>46271</v>
      </c>
      <c r="N63" s="12" t="s">
        <v>1415</v>
      </c>
      <c r="O63" s="33">
        <f t="shared" si="6"/>
        <v>0</v>
      </c>
      <c r="P63" s="12" t="s">
        <v>1415</v>
      </c>
      <c r="Q63" s="12" t="s">
        <v>1415</v>
      </c>
      <c r="R63" s="12" t="s">
        <v>1415</v>
      </c>
      <c r="S63" s="12" t="s">
        <v>1416</v>
      </c>
      <c r="T63" s="30"/>
      <c r="U63" s="13"/>
    </row>
    <row r="64" spans="1:21" ht="42" customHeight="1">
      <c r="A64" s="11">
        <v>42</v>
      </c>
      <c r="B64" s="12" t="s">
        <v>1424</v>
      </c>
      <c r="C64" s="12">
        <v>6</v>
      </c>
      <c r="D64" s="12" t="s">
        <v>641</v>
      </c>
      <c r="E64" s="12" t="s">
        <v>998</v>
      </c>
      <c r="F64" s="12" t="s">
        <v>17</v>
      </c>
      <c r="G64" s="12" t="s">
        <v>999</v>
      </c>
      <c r="H64" s="12" t="s">
        <v>306</v>
      </c>
      <c r="I64" s="12" t="s">
        <v>990</v>
      </c>
      <c r="J64" s="12" t="s">
        <v>1414</v>
      </c>
      <c r="K64" s="12">
        <v>4</v>
      </c>
      <c r="L64" s="30">
        <f t="shared" si="4"/>
        <v>46265</v>
      </c>
      <c r="M64" s="30">
        <f t="shared" si="5"/>
        <v>46271</v>
      </c>
      <c r="N64" s="12" t="s">
        <v>1415</v>
      </c>
      <c r="O64" s="33">
        <f t="shared" si="6"/>
        <v>0</v>
      </c>
      <c r="P64" s="12" t="s">
        <v>1415</v>
      </c>
      <c r="Q64" s="12" t="s">
        <v>1415</v>
      </c>
      <c r="R64" s="12" t="s">
        <v>1415</v>
      </c>
      <c r="S64" s="12" t="s">
        <v>1416</v>
      </c>
      <c r="T64" s="30"/>
      <c r="U64" s="13"/>
    </row>
    <row r="65" spans="1:21" ht="42" customHeight="1">
      <c r="A65" s="11">
        <v>43</v>
      </c>
      <c r="B65" s="12" t="s">
        <v>1424</v>
      </c>
      <c r="C65" s="12">
        <v>6</v>
      </c>
      <c r="D65" s="12" t="s">
        <v>641</v>
      </c>
      <c r="E65" s="12" t="s">
        <v>1005</v>
      </c>
      <c r="F65" s="12" t="s">
        <v>17</v>
      </c>
      <c r="G65" s="12" t="s">
        <v>1006</v>
      </c>
      <c r="H65" s="12" t="s">
        <v>312</v>
      </c>
      <c r="I65" s="12" t="s">
        <v>998</v>
      </c>
      <c r="J65" s="12" t="s">
        <v>1418</v>
      </c>
      <c r="K65" s="12">
        <v>3</v>
      </c>
      <c r="L65" s="30">
        <f t="shared" si="4"/>
        <v>46265</v>
      </c>
      <c r="M65" s="30">
        <f t="shared" si="5"/>
        <v>46271</v>
      </c>
      <c r="N65" s="12" t="s">
        <v>1415</v>
      </c>
      <c r="O65" s="33">
        <f t="shared" si="6"/>
        <v>0</v>
      </c>
      <c r="P65" s="12" t="s">
        <v>1415</v>
      </c>
      <c r="Q65" s="12" t="s">
        <v>1415</v>
      </c>
      <c r="R65" s="12" t="s">
        <v>1415</v>
      </c>
      <c r="S65" s="12" t="s">
        <v>1416</v>
      </c>
      <c r="T65" s="30"/>
      <c r="U65" s="13"/>
    </row>
    <row r="66" spans="1:21" ht="42" customHeight="1">
      <c r="A66" s="11">
        <v>44</v>
      </c>
      <c r="B66" s="12" t="s">
        <v>1424</v>
      </c>
      <c r="C66" s="12">
        <v>6</v>
      </c>
      <c r="D66" s="12" t="s">
        <v>641</v>
      </c>
      <c r="E66" s="12" t="s">
        <v>1011</v>
      </c>
      <c r="F66" s="12" t="s">
        <v>17</v>
      </c>
      <c r="G66" s="12" t="s">
        <v>1012</v>
      </c>
      <c r="H66" s="12" t="s">
        <v>317</v>
      </c>
      <c r="I66" s="12" t="s">
        <v>1005</v>
      </c>
      <c r="J66" s="12" t="s">
        <v>1418</v>
      </c>
      <c r="K66" s="12">
        <v>2</v>
      </c>
      <c r="L66" s="30">
        <f t="shared" si="4"/>
        <v>46265</v>
      </c>
      <c r="M66" s="30">
        <f t="shared" si="5"/>
        <v>46271</v>
      </c>
      <c r="N66" s="12" t="s">
        <v>1415</v>
      </c>
      <c r="O66" s="33">
        <f t="shared" si="6"/>
        <v>0</v>
      </c>
      <c r="P66" s="12" t="s">
        <v>1415</v>
      </c>
      <c r="Q66" s="12" t="s">
        <v>1415</v>
      </c>
      <c r="R66" s="12" t="s">
        <v>1415</v>
      </c>
      <c r="S66" s="12" t="s">
        <v>1416</v>
      </c>
      <c r="T66" s="30"/>
      <c r="U66" s="13"/>
    </row>
    <row r="67" spans="1:21" ht="42" customHeight="1">
      <c r="A67" s="11">
        <v>45</v>
      </c>
      <c r="B67" s="12" t="s">
        <v>1424</v>
      </c>
      <c r="C67" s="12">
        <v>6</v>
      </c>
      <c r="D67" s="12" t="s">
        <v>641</v>
      </c>
      <c r="E67" s="12" t="s">
        <v>1017</v>
      </c>
      <c r="F67" s="12" t="s">
        <v>322</v>
      </c>
      <c r="G67" s="12" t="s">
        <v>1012</v>
      </c>
      <c r="H67" s="12" t="s">
        <v>321</v>
      </c>
      <c r="I67" s="12" t="s">
        <v>1011</v>
      </c>
      <c r="J67" s="12" t="s">
        <v>1414</v>
      </c>
      <c r="K67" s="12">
        <v>4</v>
      </c>
      <c r="L67" s="30">
        <f t="shared" si="4"/>
        <v>46265</v>
      </c>
      <c r="M67" s="30">
        <f t="shared" si="5"/>
        <v>46271</v>
      </c>
      <c r="N67" s="12" t="s">
        <v>1415</v>
      </c>
      <c r="O67" s="33">
        <f t="shared" si="6"/>
        <v>0</v>
      </c>
      <c r="P67" s="12" t="s">
        <v>1415</v>
      </c>
      <c r="Q67" s="12" t="s">
        <v>1415</v>
      </c>
      <c r="R67" s="12" t="s">
        <v>1415</v>
      </c>
      <c r="S67" s="12" t="s">
        <v>1416</v>
      </c>
      <c r="T67" s="30"/>
      <c r="U67" s="13"/>
    </row>
    <row r="68" spans="1:21" ht="42" customHeight="1">
      <c r="A68" s="11">
        <v>46</v>
      </c>
      <c r="B68" s="12" t="s">
        <v>1424</v>
      </c>
      <c r="C68" s="12">
        <v>6</v>
      </c>
      <c r="D68" s="12" t="s">
        <v>641</v>
      </c>
      <c r="E68" s="12" t="s">
        <v>1024</v>
      </c>
      <c r="F68" s="12" t="s">
        <v>30</v>
      </c>
      <c r="G68" s="12" t="s">
        <v>1025</v>
      </c>
      <c r="H68" s="12" t="s">
        <v>328</v>
      </c>
      <c r="I68" s="12" t="s">
        <v>1017</v>
      </c>
      <c r="J68" s="12" t="s">
        <v>1414</v>
      </c>
      <c r="K68" s="12">
        <v>3</v>
      </c>
      <c r="L68" s="30">
        <f t="shared" si="4"/>
        <v>46265</v>
      </c>
      <c r="M68" s="30">
        <f t="shared" si="5"/>
        <v>46271</v>
      </c>
      <c r="N68" s="12" t="s">
        <v>1415</v>
      </c>
      <c r="O68" s="33">
        <f t="shared" si="6"/>
        <v>0</v>
      </c>
      <c r="P68" s="12" t="s">
        <v>1415</v>
      </c>
      <c r="Q68" s="12" t="s">
        <v>1415</v>
      </c>
      <c r="R68" s="12" t="s">
        <v>1415</v>
      </c>
      <c r="S68" s="12" t="s">
        <v>1416</v>
      </c>
      <c r="T68" s="30"/>
      <c r="U68" s="13"/>
    </row>
    <row r="69" spans="1:21" ht="42" customHeight="1">
      <c r="A69" s="11">
        <v>47</v>
      </c>
      <c r="B69" s="12" t="s">
        <v>1424</v>
      </c>
      <c r="C69" s="12">
        <v>6</v>
      </c>
      <c r="D69" s="12" t="s">
        <v>641</v>
      </c>
      <c r="E69" s="12" t="s">
        <v>1029</v>
      </c>
      <c r="F69" s="12" t="s">
        <v>166</v>
      </c>
      <c r="G69" s="12" t="s">
        <v>1012</v>
      </c>
      <c r="H69" s="12" t="s">
        <v>332</v>
      </c>
      <c r="I69" s="12" t="s">
        <v>1024</v>
      </c>
      <c r="J69" s="12" t="s">
        <v>1420</v>
      </c>
      <c r="K69" s="12">
        <v>2</v>
      </c>
      <c r="L69" s="30">
        <f t="shared" si="4"/>
        <v>46265</v>
      </c>
      <c r="M69" s="30">
        <f t="shared" si="5"/>
        <v>46271</v>
      </c>
      <c r="N69" s="12" t="s">
        <v>1415</v>
      </c>
      <c r="O69" s="33">
        <f t="shared" si="6"/>
        <v>0</v>
      </c>
      <c r="P69" s="12" t="s">
        <v>1415</v>
      </c>
      <c r="Q69" s="12" t="s">
        <v>1415</v>
      </c>
      <c r="R69" s="12" t="s">
        <v>1415</v>
      </c>
      <c r="S69" s="12" t="s">
        <v>1416</v>
      </c>
      <c r="T69" s="30"/>
      <c r="U69" s="13"/>
    </row>
    <row r="70" spans="1:21" ht="42" customHeight="1">
      <c r="A70" s="11">
        <v>48</v>
      </c>
      <c r="B70" s="12" t="s">
        <v>1425</v>
      </c>
      <c r="C70" s="12">
        <v>7</v>
      </c>
      <c r="D70" s="12" t="s">
        <v>642</v>
      </c>
      <c r="E70" s="12" t="s">
        <v>1034</v>
      </c>
      <c r="F70" s="12" t="s">
        <v>17</v>
      </c>
      <c r="G70" s="12" t="s">
        <v>1035</v>
      </c>
      <c r="H70" s="12" t="s">
        <v>339</v>
      </c>
      <c r="I70" s="12" t="s">
        <v>998</v>
      </c>
      <c r="J70" s="12" t="s">
        <v>1414</v>
      </c>
      <c r="K70" s="12">
        <v>4</v>
      </c>
      <c r="L70" s="30">
        <f t="shared" si="4"/>
        <v>46272</v>
      </c>
      <c r="M70" s="30">
        <f t="shared" si="5"/>
        <v>46278</v>
      </c>
      <c r="N70" s="12" t="s">
        <v>1415</v>
      </c>
      <c r="O70" s="33">
        <f t="shared" si="6"/>
        <v>0</v>
      </c>
      <c r="P70" s="12" t="s">
        <v>1415</v>
      </c>
      <c r="Q70" s="12" t="s">
        <v>1415</v>
      </c>
      <c r="R70" s="12" t="s">
        <v>1415</v>
      </c>
      <c r="S70" s="12" t="s">
        <v>1416</v>
      </c>
      <c r="T70" s="30"/>
      <c r="U70" s="13"/>
    </row>
    <row r="71" spans="1:21" ht="42" customHeight="1">
      <c r="A71" s="11">
        <v>49</v>
      </c>
      <c r="B71" s="12" t="s">
        <v>1425</v>
      </c>
      <c r="C71" s="12">
        <v>7</v>
      </c>
      <c r="D71" s="12" t="s">
        <v>642</v>
      </c>
      <c r="E71" s="12" t="s">
        <v>1040</v>
      </c>
      <c r="F71" s="12" t="s">
        <v>17</v>
      </c>
      <c r="G71" s="12" t="s">
        <v>1041</v>
      </c>
      <c r="H71" s="12" t="s">
        <v>344</v>
      </c>
      <c r="I71" s="12" t="s">
        <v>1034</v>
      </c>
      <c r="J71" s="12" t="s">
        <v>1414</v>
      </c>
      <c r="K71" s="12">
        <v>3</v>
      </c>
      <c r="L71" s="30">
        <f t="shared" si="4"/>
        <v>46272</v>
      </c>
      <c r="M71" s="30">
        <f t="shared" si="5"/>
        <v>46278</v>
      </c>
      <c r="N71" s="12" t="s">
        <v>1415</v>
      </c>
      <c r="O71" s="33">
        <f t="shared" si="6"/>
        <v>0</v>
      </c>
      <c r="P71" s="12" t="s">
        <v>1415</v>
      </c>
      <c r="Q71" s="12" t="s">
        <v>1415</v>
      </c>
      <c r="R71" s="12" t="s">
        <v>1415</v>
      </c>
      <c r="S71" s="12" t="s">
        <v>1416</v>
      </c>
      <c r="T71" s="30"/>
      <c r="U71" s="13"/>
    </row>
    <row r="72" spans="1:21" ht="42" customHeight="1">
      <c r="A72" s="11">
        <v>50</v>
      </c>
      <c r="B72" s="12" t="s">
        <v>1425</v>
      </c>
      <c r="C72" s="12">
        <v>7</v>
      </c>
      <c r="D72" s="12" t="s">
        <v>642</v>
      </c>
      <c r="E72" s="12" t="s">
        <v>1049</v>
      </c>
      <c r="F72" s="12" t="s">
        <v>30</v>
      </c>
      <c r="G72" s="12" t="s">
        <v>1035</v>
      </c>
      <c r="H72" s="12" t="s">
        <v>350</v>
      </c>
      <c r="I72" s="12" t="s">
        <v>1040</v>
      </c>
      <c r="J72" s="12" t="s">
        <v>1414</v>
      </c>
      <c r="K72" s="12">
        <v>6</v>
      </c>
      <c r="L72" s="30">
        <f t="shared" si="4"/>
        <v>46272</v>
      </c>
      <c r="M72" s="30">
        <f t="shared" si="5"/>
        <v>46278</v>
      </c>
      <c r="N72" s="12" t="s">
        <v>1415</v>
      </c>
      <c r="O72" s="33">
        <f t="shared" si="6"/>
        <v>0</v>
      </c>
      <c r="P72" s="12" t="s">
        <v>1415</v>
      </c>
      <c r="Q72" s="12" t="s">
        <v>1415</v>
      </c>
      <c r="R72" s="12" t="s">
        <v>1415</v>
      </c>
      <c r="S72" s="12" t="s">
        <v>1416</v>
      </c>
      <c r="T72" s="30"/>
      <c r="U72" s="13"/>
    </row>
    <row r="73" spans="1:21" ht="42" customHeight="1">
      <c r="A73" s="11">
        <v>51</v>
      </c>
      <c r="B73" s="12" t="s">
        <v>1425</v>
      </c>
      <c r="C73" s="12">
        <v>7</v>
      </c>
      <c r="D73" s="12" t="s">
        <v>642</v>
      </c>
      <c r="E73" s="12" t="s">
        <v>1057</v>
      </c>
      <c r="F73" s="12" t="s">
        <v>64</v>
      </c>
      <c r="G73" s="12" t="s">
        <v>1041</v>
      </c>
      <c r="H73" s="12" t="s">
        <v>356</v>
      </c>
      <c r="I73" s="12" t="s">
        <v>1049</v>
      </c>
      <c r="J73" s="12" t="s">
        <v>1418</v>
      </c>
      <c r="K73" s="12">
        <v>2</v>
      </c>
      <c r="L73" s="30">
        <f t="shared" si="4"/>
        <v>46272</v>
      </c>
      <c r="M73" s="30">
        <f t="shared" si="5"/>
        <v>46278</v>
      </c>
      <c r="N73" s="12" t="s">
        <v>1415</v>
      </c>
      <c r="O73" s="33">
        <f t="shared" si="6"/>
        <v>0</v>
      </c>
      <c r="P73" s="12" t="s">
        <v>1415</v>
      </c>
      <c r="Q73" s="12" t="s">
        <v>1415</v>
      </c>
      <c r="R73" s="12" t="s">
        <v>1415</v>
      </c>
      <c r="S73" s="12" t="s">
        <v>1416</v>
      </c>
      <c r="T73" s="30"/>
      <c r="U73" s="13"/>
    </row>
    <row r="74" spans="1:21" ht="42" customHeight="1">
      <c r="A74" s="11">
        <v>52</v>
      </c>
      <c r="B74" s="12" t="s">
        <v>1425</v>
      </c>
      <c r="C74" s="12">
        <v>7</v>
      </c>
      <c r="D74" s="12" t="s">
        <v>642</v>
      </c>
      <c r="E74" s="12" t="s">
        <v>1066</v>
      </c>
      <c r="F74" s="12" t="s">
        <v>64</v>
      </c>
      <c r="G74" s="12" t="s">
        <v>1067</v>
      </c>
      <c r="H74" s="12" t="s">
        <v>363</v>
      </c>
      <c r="I74" s="12" t="s">
        <v>1057</v>
      </c>
      <c r="J74" s="12" t="s">
        <v>1414</v>
      </c>
      <c r="K74" s="12">
        <v>3</v>
      </c>
      <c r="L74" s="30">
        <f t="shared" si="4"/>
        <v>46272</v>
      </c>
      <c r="M74" s="30">
        <f t="shared" si="5"/>
        <v>46278</v>
      </c>
      <c r="N74" s="12" t="s">
        <v>1415</v>
      </c>
      <c r="O74" s="33">
        <f t="shared" si="6"/>
        <v>0</v>
      </c>
      <c r="P74" s="12" t="s">
        <v>1415</v>
      </c>
      <c r="Q74" s="12" t="s">
        <v>1415</v>
      </c>
      <c r="R74" s="12" t="s">
        <v>1415</v>
      </c>
      <c r="S74" s="12" t="s">
        <v>1416</v>
      </c>
      <c r="T74" s="30"/>
      <c r="U74" s="13"/>
    </row>
    <row r="75" spans="1:21" ht="42" customHeight="1">
      <c r="A75" s="11">
        <v>53</v>
      </c>
      <c r="B75" s="12" t="s">
        <v>1425</v>
      </c>
      <c r="C75" s="12">
        <v>7</v>
      </c>
      <c r="D75" s="12" t="s">
        <v>642</v>
      </c>
      <c r="E75" s="12" t="s">
        <v>1075</v>
      </c>
      <c r="F75" s="12" t="s">
        <v>166</v>
      </c>
      <c r="G75" s="12" t="s">
        <v>1041</v>
      </c>
      <c r="H75" s="12" t="s">
        <v>369</v>
      </c>
      <c r="I75" s="12" t="s">
        <v>1066</v>
      </c>
      <c r="J75" s="12" t="s">
        <v>1418</v>
      </c>
      <c r="K75" s="12">
        <v>3</v>
      </c>
      <c r="L75" s="30">
        <f t="shared" si="4"/>
        <v>46272</v>
      </c>
      <c r="M75" s="30">
        <f t="shared" si="5"/>
        <v>46278</v>
      </c>
      <c r="N75" s="12" t="s">
        <v>1415</v>
      </c>
      <c r="O75" s="33">
        <f t="shared" si="6"/>
        <v>0</v>
      </c>
      <c r="P75" s="12" t="s">
        <v>1415</v>
      </c>
      <c r="Q75" s="12" t="s">
        <v>1415</v>
      </c>
      <c r="R75" s="12" t="s">
        <v>1415</v>
      </c>
      <c r="S75" s="12" t="s">
        <v>1416</v>
      </c>
      <c r="T75" s="30"/>
      <c r="U75" s="13"/>
    </row>
    <row r="76" spans="1:21" ht="42" customHeight="1">
      <c r="A76" s="11">
        <v>54</v>
      </c>
      <c r="B76" s="12" t="s">
        <v>1425</v>
      </c>
      <c r="C76" s="12">
        <v>7</v>
      </c>
      <c r="D76" s="12" t="s">
        <v>642</v>
      </c>
      <c r="E76" s="12" t="s">
        <v>1079</v>
      </c>
      <c r="F76" s="12" t="s">
        <v>17</v>
      </c>
      <c r="G76" s="12" t="s">
        <v>1080</v>
      </c>
      <c r="H76" s="12" t="s">
        <v>373</v>
      </c>
      <c r="I76" s="12" t="s">
        <v>1075</v>
      </c>
      <c r="J76" s="12" t="s">
        <v>1418</v>
      </c>
      <c r="K76" s="12">
        <v>3</v>
      </c>
      <c r="L76" s="30">
        <f t="shared" si="4"/>
        <v>46272</v>
      </c>
      <c r="M76" s="30">
        <f t="shared" si="5"/>
        <v>46278</v>
      </c>
      <c r="N76" s="12" t="s">
        <v>1415</v>
      </c>
      <c r="O76" s="33">
        <f t="shared" si="6"/>
        <v>0</v>
      </c>
      <c r="P76" s="12" t="s">
        <v>1415</v>
      </c>
      <c r="Q76" s="12" t="s">
        <v>1415</v>
      </c>
      <c r="R76" s="12" t="s">
        <v>1415</v>
      </c>
      <c r="S76" s="12" t="s">
        <v>1416</v>
      </c>
      <c r="T76" s="30"/>
      <c r="U76" s="13"/>
    </row>
    <row r="77" spans="1:21" ht="42" customHeight="1">
      <c r="A77" s="11">
        <v>55</v>
      </c>
      <c r="B77" s="12" t="s">
        <v>1425</v>
      </c>
      <c r="C77" s="12">
        <v>7</v>
      </c>
      <c r="D77" s="12" t="s">
        <v>643</v>
      </c>
      <c r="E77" s="12" t="s">
        <v>1086</v>
      </c>
      <c r="F77" s="12" t="s">
        <v>17</v>
      </c>
      <c r="G77" s="12" t="s">
        <v>1087</v>
      </c>
      <c r="H77" s="12" t="s">
        <v>381</v>
      </c>
      <c r="I77" s="12" t="s">
        <v>1049</v>
      </c>
      <c r="J77" s="12" t="s">
        <v>1414</v>
      </c>
      <c r="K77" s="12">
        <v>3</v>
      </c>
      <c r="L77" s="30">
        <f t="shared" si="4"/>
        <v>46272</v>
      </c>
      <c r="M77" s="30">
        <f t="shared" si="5"/>
        <v>46278</v>
      </c>
      <c r="N77" s="12" t="s">
        <v>1415</v>
      </c>
      <c r="O77" s="33">
        <f t="shared" si="6"/>
        <v>0</v>
      </c>
      <c r="P77" s="12" t="s">
        <v>1415</v>
      </c>
      <c r="Q77" s="12" t="s">
        <v>1415</v>
      </c>
      <c r="R77" s="12" t="s">
        <v>1415</v>
      </c>
      <c r="S77" s="12" t="s">
        <v>1416</v>
      </c>
      <c r="T77" s="30"/>
      <c r="U77" s="13"/>
    </row>
    <row r="78" spans="1:21" ht="42" customHeight="1">
      <c r="A78" s="11">
        <v>56</v>
      </c>
      <c r="B78" s="12" t="s">
        <v>1425</v>
      </c>
      <c r="C78" s="12">
        <v>7</v>
      </c>
      <c r="D78" s="12" t="s">
        <v>643</v>
      </c>
      <c r="E78" s="12" t="s">
        <v>1092</v>
      </c>
      <c r="F78" s="12" t="s">
        <v>30</v>
      </c>
      <c r="G78" s="12" t="s">
        <v>1087</v>
      </c>
      <c r="H78" s="12" t="s">
        <v>385</v>
      </c>
      <c r="I78" s="12" t="s">
        <v>1086</v>
      </c>
      <c r="J78" s="12" t="s">
        <v>1414</v>
      </c>
      <c r="K78" s="12">
        <v>3</v>
      </c>
      <c r="L78" s="30">
        <f t="shared" si="4"/>
        <v>46272</v>
      </c>
      <c r="M78" s="30">
        <f t="shared" si="5"/>
        <v>46278</v>
      </c>
      <c r="N78" s="12" t="s">
        <v>1415</v>
      </c>
      <c r="O78" s="33">
        <f t="shared" si="6"/>
        <v>0</v>
      </c>
      <c r="P78" s="12" t="s">
        <v>1415</v>
      </c>
      <c r="Q78" s="12" t="s">
        <v>1415</v>
      </c>
      <c r="R78" s="12" t="s">
        <v>1415</v>
      </c>
      <c r="S78" s="12" t="s">
        <v>1416</v>
      </c>
      <c r="T78" s="30"/>
      <c r="U78" s="13"/>
    </row>
    <row r="79" spans="1:21" ht="42" customHeight="1">
      <c r="A79" s="11">
        <v>57</v>
      </c>
      <c r="B79" s="12" t="s">
        <v>1425</v>
      </c>
      <c r="C79" s="12">
        <v>7</v>
      </c>
      <c r="D79" s="12" t="s">
        <v>643</v>
      </c>
      <c r="E79" s="12" t="s">
        <v>1101</v>
      </c>
      <c r="F79" s="12" t="s">
        <v>17</v>
      </c>
      <c r="G79" s="12" t="s">
        <v>1102</v>
      </c>
      <c r="H79" s="12" t="s">
        <v>392</v>
      </c>
      <c r="I79" s="12" t="s">
        <v>1092</v>
      </c>
      <c r="J79" s="12" t="s">
        <v>1414</v>
      </c>
      <c r="K79" s="12">
        <v>2</v>
      </c>
      <c r="L79" s="30">
        <f t="shared" si="4"/>
        <v>46272</v>
      </c>
      <c r="M79" s="30">
        <f t="shared" si="5"/>
        <v>46278</v>
      </c>
      <c r="N79" s="12" t="s">
        <v>1415</v>
      </c>
      <c r="O79" s="33">
        <f t="shared" si="6"/>
        <v>0</v>
      </c>
      <c r="P79" s="12" t="s">
        <v>1415</v>
      </c>
      <c r="Q79" s="12" t="s">
        <v>1415</v>
      </c>
      <c r="R79" s="12" t="s">
        <v>1415</v>
      </c>
      <c r="S79" s="12" t="s">
        <v>1416</v>
      </c>
      <c r="T79" s="30"/>
      <c r="U79" s="13"/>
    </row>
    <row r="80" spans="1:21" ht="42" customHeight="1">
      <c r="A80" s="11">
        <v>58</v>
      </c>
      <c r="B80" s="12" t="s">
        <v>1425</v>
      </c>
      <c r="C80" s="12">
        <v>7</v>
      </c>
      <c r="D80" s="12" t="s">
        <v>643</v>
      </c>
      <c r="E80" s="12" t="s">
        <v>1107</v>
      </c>
      <c r="F80" s="12" t="s">
        <v>64</v>
      </c>
      <c r="G80" s="12" t="s">
        <v>1102</v>
      </c>
      <c r="H80" s="12" t="s">
        <v>396</v>
      </c>
      <c r="I80" s="12" t="s">
        <v>1101</v>
      </c>
      <c r="J80" s="12" t="s">
        <v>1414</v>
      </c>
      <c r="K80" s="12">
        <v>2</v>
      </c>
      <c r="L80" s="30">
        <f t="shared" si="4"/>
        <v>46272</v>
      </c>
      <c r="M80" s="30">
        <f t="shared" si="5"/>
        <v>46278</v>
      </c>
      <c r="N80" s="12" t="s">
        <v>1415</v>
      </c>
      <c r="O80" s="33">
        <f t="shared" si="6"/>
        <v>0</v>
      </c>
      <c r="P80" s="12" t="s">
        <v>1415</v>
      </c>
      <c r="Q80" s="12" t="s">
        <v>1415</v>
      </c>
      <c r="R80" s="12" t="s">
        <v>1415</v>
      </c>
      <c r="S80" s="12" t="s">
        <v>1416</v>
      </c>
      <c r="T80" s="30"/>
      <c r="U80" s="13"/>
    </row>
    <row r="81" spans="1:21" ht="42" customHeight="1">
      <c r="A81" s="11">
        <v>59</v>
      </c>
      <c r="B81" s="12" t="s">
        <v>1425</v>
      </c>
      <c r="C81" s="12">
        <v>7</v>
      </c>
      <c r="D81" s="12" t="s">
        <v>643</v>
      </c>
      <c r="E81" s="12" t="s">
        <v>1113</v>
      </c>
      <c r="F81" s="12" t="s">
        <v>166</v>
      </c>
      <c r="G81" s="12" t="s">
        <v>1102</v>
      </c>
      <c r="H81" s="12" t="s">
        <v>401</v>
      </c>
      <c r="I81" s="12" t="s">
        <v>1107</v>
      </c>
      <c r="J81" s="12" t="s">
        <v>1414</v>
      </c>
      <c r="K81" s="12">
        <v>2</v>
      </c>
      <c r="L81" s="30">
        <f t="shared" si="4"/>
        <v>46272</v>
      </c>
      <c r="M81" s="30">
        <f t="shared" si="5"/>
        <v>46278</v>
      </c>
      <c r="N81" s="12" t="s">
        <v>1415</v>
      </c>
      <c r="O81" s="33">
        <f t="shared" si="6"/>
        <v>0</v>
      </c>
      <c r="P81" s="12" t="s">
        <v>1415</v>
      </c>
      <c r="Q81" s="12" t="s">
        <v>1415</v>
      </c>
      <c r="R81" s="12" t="s">
        <v>1415</v>
      </c>
      <c r="S81" s="12" t="s">
        <v>1416</v>
      </c>
      <c r="T81" s="30"/>
      <c r="U81" s="13"/>
    </row>
    <row r="82" spans="1:21" ht="42" customHeight="1">
      <c r="A82" s="11">
        <v>60</v>
      </c>
      <c r="B82" s="12" t="s">
        <v>1425</v>
      </c>
      <c r="C82" s="12">
        <v>7</v>
      </c>
      <c r="D82" s="12" t="s">
        <v>643</v>
      </c>
      <c r="E82" s="12" t="s">
        <v>1116</v>
      </c>
      <c r="F82" s="12" t="s">
        <v>17</v>
      </c>
      <c r="G82" s="12" t="s">
        <v>1117</v>
      </c>
      <c r="H82" s="12" t="s">
        <v>405</v>
      </c>
      <c r="I82" s="12" t="s">
        <v>1113</v>
      </c>
      <c r="J82" s="12" t="s">
        <v>1414</v>
      </c>
      <c r="K82" s="12">
        <v>3</v>
      </c>
      <c r="L82" s="30">
        <f t="shared" si="4"/>
        <v>46272</v>
      </c>
      <c r="M82" s="30">
        <f t="shared" si="5"/>
        <v>46278</v>
      </c>
      <c r="N82" s="12" t="s">
        <v>1415</v>
      </c>
      <c r="O82" s="33">
        <f t="shared" si="6"/>
        <v>0</v>
      </c>
      <c r="P82" s="12" t="s">
        <v>1415</v>
      </c>
      <c r="Q82" s="12" t="s">
        <v>1415</v>
      </c>
      <c r="R82" s="12" t="s">
        <v>1415</v>
      </c>
      <c r="S82" s="12" t="s">
        <v>1416</v>
      </c>
      <c r="T82" s="30"/>
      <c r="U82" s="13"/>
    </row>
    <row r="83" spans="1:21" ht="42" customHeight="1">
      <c r="A83" s="11">
        <v>61</v>
      </c>
      <c r="B83" s="12" t="s">
        <v>1425</v>
      </c>
      <c r="C83" s="12">
        <v>7</v>
      </c>
      <c r="D83" s="12" t="s">
        <v>643</v>
      </c>
      <c r="E83" s="12" t="s">
        <v>1123</v>
      </c>
      <c r="F83" s="12" t="s">
        <v>30</v>
      </c>
      <c r="G83" s="12" t="s">
        <v>1117</v>
      </c>
      <c r="H83" s="12" t="s">
        <v>410</v>
      </c>
      <c r="I83" s="12" t="s">
        <v>1116</v>
      </c>
      <c r="J83" s="12" t="s">
        <v>1414</v>
      </c>
      <c r="K83" s="12">
        <v>4</v>
      </c>
      <c r="L83" s="30">
        <f t="shared" si="4"/>
        <v>46272</v>
      </c>
      <c r="M83" s="30">
        <f t="shared" si="5"/>
        <v>46278</v>
      </c>
      <c r="N83" s="12" t="s">
        <v>1415</v>
      </c>
      <c r="O83" s="33">
        <f t="shared" si="6"/>
        <v>0</v>
      </c>
      <c r="P83" s="12" t="s">
        <v>1415</v>
      </c>
      <c r="Q83" s="12" t="s">
        <v>1415</v>
      </c>
      <c r="R83" s="12" t="s">
        <v>1415</v>
      </c>
      <c r="S83" s="12" t="s">
        <v>1416</v>
      </c>
      <c r="T83" s="30"/>
      <c r="U83" s="13"/>
    </row>
    <row r="84" spans="1:21" ht="42" customHeight="1">
      <c r="A84" s="11">
        <v>62</v>
      </c>
      <c r="B84" s="12" t="s">
        <v>1425</v>
      </c>
      <c r="C84" s="12">
        <v>7</v>
      </c>
      <c r="D84" s="12" t="s">
        <v>643</v>
      </c>
      <c r="E84" s="12" t="s">
        <v>1132</v>
      </c>
      <c r="F84" s="12" t="s">
        <v>166</v>
      </c>
      <c r="G84" s="12" t="s">
        <v>1133</v>
      </c>
      <c r="H84" s="12" t="s">
        <v>417</v>
      </c>
      <c r="I84" s="12" t="s">
        <v>1123</v>
      </c>
      <c r="J84" s="12" t="s">
        <v>1414</v>
      </c>
      <c r="K84" s="12">
        <v>2</v>
      </c>
      <c r="L84" s="30">
        <f t="shared" si="4"/>
        <v>46272</v>
      </c>
      <c r="M84" s="30">
        <f t="shared" si="5"/>
        <v>46278</v>
      </c>
      <c r="N84" s="12" t="s">
        <v>1415</v>
      </c>
      <c r="O84" s="33">
        <f t="shared" si="6"/>
        <v>0</v>
      </c>
      <c r="P84" s="12" t="s">
        <v>1415</v>
      </c>
      <c r="Q84" s="12" t="s">
        <v>1415</v>
      </c>
      <c r="R84" s="12" t="s">
        <v>1415</v>
      </c>
      <c r="S84" s="12" t="s">
        <v>1416</v>
      </c>
      <c r="T84" s="30"/>
      <c r="U84" s="13"/>
    </row>
    <row r="85" spans="1:21" ht="42" customHeight="1">
      <c r="A85" s="11">
        <v>63</v>
      </c>
      <c r="B85" s="12" t="s">
        <v>1426</v>
      </c>
      <c r="C85" s="12">
        <v>8</v>
      </c>
      <c r="D85" s="12" t="s">
        <v>644</v>
      </c>
      <c r="E85" s="12" t="s">
        <v>1139</v>
      </c>
      <c r="F85" s="12" t="s">
        <v>17</v>
      </c>
      <c r="G85" s="12" t="s">
        <v>1140</v>
      </c>
      <c r="H85" s="12" t="s">
        <v>426</v>
      </c>
      <c r="I85" s="12" t="s">
        <v>1427</v>
      </c>
      <c r="J85" s="12" t="s">
        <v>1414</v>
      </c>
      <c r="K85" s="12">
        <v>3</v>
      </c>
      <c r="L85" s="30">
        <f t="shared" si="4"/>
        <v>46279</v>
      </c>
      <c r="M85" s="30">
        <f t="shared" si="5"/>
        <v>46285</v>
      </c>
      <c r="N85" s="12" t="s">
        <v>1415</v>
      </c>
      <c r="O85" s="33">
        <f t="shared" si="6"/>
        <v>0</v>
      </c>
      <c r="P85" s="12" t="s">
        <v>1415</v>
      </c>
      <c r="Q85" s="12" t="s">
        <v>1415</v>
      </c>
      <c r="R85" s="12" t="s">
        <v>1415</v>
      </c>
      <c r="S85" s="12" t="s">
        <v>1416</v>
      </c>
      <c r="T85" s="30"/>
      <c r="U85" s="13"/>
    </row>
    <row r="86" spans="1:21" ht="42" customHeight="1">
      <c r="A86" s="11">
        <v>64</v>
      </c>
      <c r="B86" s="12" t="s">
        <v>1426</v>
      </c>
      <c r="C86" s="12">
        <v>8</v>
      </c>
      <c r="D86" s="12" t="s">
        <v>644</v>
      </c>
      <c r="E86" s="12" t="s">
        <v>1145</v>
      </c>
      <c r="F86" s="12" t="s">
        <v>17</v>
      </c>
      <c r="G86" s="12" t="s">
        <v>1146</v>
      </c>
      <c r="H86" s="12" t="s">
        <v>431</v>
      </c>
      <c r="I86" s="12" t="s">
        <v>1139</v>
      </c>
      <c r="J86" s="12" t="s">
        <v>1414</v>
      </c>
      <c r="K86" s="12">
        <v>3</v>
      </c>
      <c r="L86" s="30">
        <f t="shared" si="4"/>
        <v>46279</v>
      </c>
      <c r="M86" s="30">
        <f t="shared" si="5"/>
        <v>46285</v>
      </c>
      <c r="N86" s="12" t="s">
        <v>1415</v>
      </c>
      <c r="O86" s="33">
        <f t="shared" si="6"/>
        <v>0</v>
      </c>
      <c r="P86" s="12" t="s">
        <v>1415</v>
      </c>
      <c r="Q86" s="12" t="s">
        <v>1415</v>
      </c>
      <c r="R86" s="12" t="s">
        <v>1415</v>
      </c>
      <c r="S86" s="12" t="s">
        <v>1416</v>
      </c>
      <c r="T86" s="30"/>
      <c r="U86" s="13"/>
    </row>
    <row r="87" spans="1:21" ht="42" customHeight="1">
      <c r="A87" s="11">
        <v>65</v>
      </c>
      <c r="B87" s="12" t="s">
        <v>1426</v>
      </c>
      <c r="C87" s="12">
        <v>8</v>
      </c>
      <c r="D87" s="12" t="s">
        <v>644</v>
      </c>
      <c r="E87" s="12" t="s">
        <v>1154</v>
      </c>
      <c r="F87" s="12" t="s">
        <v>17</v>
      </c>
      <c r="G87" s="12" t="s">
        <v>1155</v>
      </c>
      <c r="H87" s="12" t="s">
        <v>438</v>
      </c>
      <c r="I87" s="12" t="s">
        <v>1145</v>
      </c>
      <c r="J87" s="12" t="s">
        <v>1414</v>
      </c>
      <c r="K87" s="12">
        <v>3</v>
      </c>
      <c r="L87" s="30">
        <f t="shared" ref="L87:L116" si="7">$B$3+(C87-1)*7</f>
        <v>46279</v>
      </c>
      <c r="M87" s="30">
        <f t="shared" ref="M87:M118" si="8">L87+6</f>
        <v>46285</v>
      </c>
      <c r="N87" s="12" t="s">
        <v>1415</v>
      </c>
      <c r="O87" s="33">
        <f t="shared" ref="O87:O118" si="9">IF(N87="Done",1,IF(N87="Review",0.9,IF(N87="In Progress",0.5,IF(N87="Blocked",0.25,0))))</f>
        <v>0</v>
      </c>
      <c r="P87" s="12" t="s">
        <v>1415</v>
      </c>
      <c r="Q87" s="12" t="s">
        <v>1415</v>
      </c>
      <c r="R87" s="12" t="s">
        <v>1415</v>
      </c>
      <c r="S87" s="12" t="s">
        <v>1416</v>
      </c>
      <c r="T87" s="30"/>
      <c r="U87" s="13"/>
    </row>
    <row r="88" spans="1:21" ht="42" customHeight="1">
      <c r="A88" s="11">
        <v>66</v>
      </c>
      <c r="B88" s="12" t="s">
        <v>1426</v>
      </c>
      <c r="C88" s="12">
        <v>8</v>
      </c>
      <c r="D88" s="12" t="s">
        <v>644</v>
      </c>
      <c r="E88" s="12" t="s">
        <v>1160</v>
      </c>
      <c r="F88" s="12" t="s">
        <v>17</v>
      </c>
      <c r="G88" s="12" t="s">
        <v>1161</v>
      </c>
      <c r="H88" s="12" t="s">
        <v>442</v>
      </c>
      <c r="I88" s="12" t="s">
        <v>1154</v>
      </c>
      <c r="J88" s="12" t="s">
        <v>1414</v>
      </c>
      <c r="K88" s="12">
        <v>4</v>
      </c>
      <c r="L88" s="30">
        <f t="shared" si="7"/>
        <v>46279</v>
      </c>
      <c r="M88" s="30">
        <f t="shared" si="8"/>
        <v>46285</v>
      </c>
      <c r="N88" s="12" t="s">
        <v>1415</v>
      </c>
      <c r="O88" s="33">
        <f t="shared" si="9"/>
        <v>0</v>
      </c>
      <c r="P88" s="12" t="s">
        <v>1415</v>
      </c>
      <c r="Q88" s="12" t="s">
        <v>1415</v>
      </c>
      <c r="R88" s="12" t="s">
        <v>1415</v>
      </c>
      <c r="S88" s="12" t="s">
        <v>1416</v>
      </c>
      <c r="T88" s="30"/>
      <c r="U88" s="13"/>
    </row>
    <row r="89" spans="1:21" ht="42" customHeight="1">
      <c r="A89" s="11">
        <v>67</v>
      </c>
      <c r="B89" s="12" t="s">
        <v>1426</v>
      </c>
      <c r="C89" s="12">
        <v>8</v>
      </c>
      <c r="D89" s="12" t="s">
        <v>644</v>
      </c>
      <c r="E89" s="12" t="s">
        <v>1168</v>
      </c>
      <c r="F89" s="12" t="s">
        <v>30</v>
      </c>
      <c r="G89" s="12" t="s">
        <v>1155</v>
      </c>
      <c r="H89" s="12" t="s">
        <v>447</v>
      </c>
      <c r="I89" s="12" t="s">
        <v>1160</v>
      </c>
      <c r="J89" s="12" t="s">
        <v>1414</v>
      </c>
      <c r="K89" s="12">
        <v>4</v>
      </c>
      <c r="L89" s="30">
        <f t="shared" si="7"/>
        <v>46279</v>
      </c>
      <c r="M89" s="30">
        <f t="shared" si="8"/>
        <v>46285</v>
      </c>
      <c r="N89" s="12" t="s">
        <v>1415</v>
      </c>
      <c r="O89" s="33">
        <f t="shared" si="9"/>
        <v>0</v>
      </c>
      <c r="P89" s="12" t="s">
        <v>1415</v>
      </c>
      <c r="Q89" s="12" t="s">
        <v>1415</v>
      </c>
      <c r="R89" s="12" t="s">
        <v>1415</v>
      </c>
      <c r="S89" s="12" t="s">
        <v>1416</v>
      </c>
      <c r="T89" s="30"/>
      <c r="U89" s="13"/>
    </row>
    <row r="90" spans="1:21" ht="42" customHeight="1">
      <c r="A90" s="11">
        <v>68</v>
      </c>
      <c r="B90" s="12" t="s">
        <v>1426</v>
      </c>
      <c r="C90" s="12">
        <v>8</v>
      </c>
      <c r="D90" s="12" t="s">
        <v>644</v>
      </c>
      <c r="E90" s="12" t="s">
        <v>1177</v>
      </c>
      <c r="F90" s="12" t="s">
        <v>64</v>
      </c>
      <c r="G90" s="12" t="s">
        <v>1161</v>
      </c>
      <c r="H90" s="12" t="s">
        <v>453</v>
      </c>
      <c r="I90" s="12" t="s">
        <v>1168</v>
      </c>
      <c r="J90" s="12" t="s">
        <v>1414</v>
      </c>
      <c r="K90" s="12">
        <v>2</v>
      </c>
      <c r="L90" s="30">
        <f t="shared" si="7"/>
        <v>46279</v>
      </c>
      <c r="M90" s="30">
        <f t="shared" si="8"/>
        <v>46285</v>
      </c>
      <c r="N90" s="12" t="s">
        <v>1415</v>
      </c>
      <c r="O90" s="33">
        <f t="shared" si="9"/>
        <v>0</v>
      </c>
      <c r="P90" s="12" t="s">
        <v>1415</v>
      </c>
      <c r="Q90" s="12" t="s">
        <v>1415</v>
      </c>
      <c r="R90" s="12" t="s">
        <v>1415</v>
      </c>
      <c r="S90" s="12" t="s">
        <v>1416</v>
      </c>
      <c r="T90" s="30"/>
      <c r="U90" s="13"/>
    </row>
    <row r="91" spans="1:21" ht="42" customHeight="1">
      <c r="A91" s="11">
        <v>69</v>
      </c>
      <c r="B91" s="12" t="s">
        <v>1426</v>
      </c>
      <c r="C91" s="12">
        <v>8</v>
      </c>
      <c r="D91" s="12" t="s">
        <v>644</v>
      </c>
      <c r="E91" s="12" t="s">
        <v>1185</v>
      </c>
      <c r="F91" s="12" t="s">
        <v>166</v>
      </c>
      <c r="G91" s="12" t="s">
        <v>1161</v>
      </c>
      <c r="H91" s="12" t="s">
        <v>458</v>
      </c>
      <c r="I91" s="12" t="s">
        <v>1177</v>
      </c>
      <c r="J91" s="12" t="s">
        <v>1420</v>
      </c>
      <c r="K91" s="12">
        <v>2</v>
      </c>
      <c r="L91" s="30">
        <f t="shared" si="7"/>
        <v>46279</v>
      </c>
      <c r="M91" s="30">
        <f t="shared" si="8"/>
        <v>46285</v>
      </c>
      <c r="N91" s="12" t="s">
        <v>1415</v>
      </c>
      <c r="O91" s="33">
        <f t="shared" si="9"/>
        <v>0</v>
      </c>
      <c r="P91" s="12" t="s">
        <v>1415</v>
      </c>
      <c r="Q91" s="12" t="s">
        <v>1415</v>
      </c>
      <c r="R91" s="12" t="s">
        <v>1415</v>
      </c>
      <c r="S91" s="12" t="s">
        <v>1416</v>
      </c>
      <c r="T91" s="30"/>
      <c r="U91" s="13"/>
    </row>
    <row r="92" spans="1:21" ht="42" customHeight="1">
      <c r="A92" s="11">
        <v>70</v>
      </c>
      <c r="B92" s="12" t="s">
        <v>1426</v>
      </c>
      <c r="C92" s="12">
        <v>8</v>
      </c>
      <c r="D92" s="12" t="s">
        <v>644</v>
      </c>
      <c r="E92" s="12" t="s">
        <v>1190</v>
      </c>
      <c r="F92" s="12" t="s">
        <v>30</v>
      </c>
      <c r="G92" s="12" t="s">
        <v>1191</v>
      </c>
      <c r="H92" s="12" t="s">
        <v>462</v>
      </c>
      <c r="I92" s="12" t="s">
        <v>1185</v>
      </c>
      <c r="J92" s="12" t="s">
        <v>1414</v>
      </c>
      <c r="K92" s="12">
        <v>5</v>
      </c>
      <c r="L92" s="30">
        <f t="shared" si="7"/>
        <v>46279</v>
      </c>
      <c r="M92" s="30">
        <f t="shared" si="8"/>
        <v>46285</v>
      </c>
      <c r="N92" s="12" t="s">
        <v>1415</v>
      </c>
      <c r="O92" s="33">
        <f t="shared" si="9"/>
        <v>0</v>
      </c>
      <c r="P92" s="12" t="s">
        <v>1415</v>
      </c>
      <c r="Q92" s="12" t="s">
        <v>1415</v>
      </c>
      <c r="R92" s="12" t="s">
        <v>1415</v>
      </c>
      <c r="S92" s="12" t="s">
        <v>1416</v>
      </c>
      <c r="T92" s="30"/>
      <c r="U92" s="13"/>
    </row>
    <row r="93" spans="1:21" ht="42" customHeight="1">
      <c r="A93" s="11">
        <v>71</v>
      </c>
      <c r="B93" s="12" t="s">
        <v>1426</v>
      </c>
      <c r="C93" s="12">
        <v>8</v>
      </c>
      <c r="D93" s="12" t="s">
        <v>644</v>
      </c>
      <c r="E93" s="12" t="s">
        <v>1200</v>
      </c>
      <c r="F93" s="12" t="s">
        <v>17</v>
      </c>
      <c r="G93" s="12" t="s">
        <v>1201</v>
      </c>
      <c r="H93" s="12" t="s">
        <v>469</v>
      </c>
      <c r="I93" s="12" t="s">
        <v>1190</v>
      </c>
      <c r="J93" s="12" t="s">
        <v>1418</v>
      </c>
      <c r="K93" s="12">
        <v>2</v>
      </c>
      <c r="L93" s="30">
        <f t="shared" si="7"/>
        <v>46279</v>
      </c>
      <c r="M93" s="30">
        <f t="shared" si="8"/>
        <v>46285</v>
      </c>
      <c r="N93" s="12" t="s">
        <v>1415</v>
      </c>
      <c r="O93" s="33">
        <f t="shared" si="9"/>
        <v>0</v>
      </c>
      <c r="P93" s="12" t="s">
        <v>1415</v>
      </c>
      <c r="Q93" s="12" t="s">
        <v>1415</v>
      </c>
      <c r="R93" s="12" t="s">
        <v>1415</v>
      </c>
      <c r="S93" s="12" t="s">
        <v>1416</v>
      </c>
      <c r="T93" s="30"/>
      <c r="U93" s="13"/>
    </row>
    <row r="94" spans="1:21" ht="42" customHeight="1">
      <c r="A94" s="11">
        <v>72</v>
      </c>
      <c r="B94" s="12" t="s">
        <v>1426</v>
      </c>
      <c r="C94" s="12">
        <v>9</v>
      </c>
      <c r="D94" s="12" t="s">
        <v>644</v>
      </c>
      <c r="E94" s="12" t="s">
        <v>1209</v>
      </c>
      <c r="F94" s="12" t="s">
        <v>64</v>
      </c>
      <c r="G94" s="12" t="s">
        <v>1201</v>
      </c>
      <c r="H94" s="12" t="s">
        <v>475</v>
      </c>
      <c r="I94" s="12" t="s">
        <v>1200</v>
      </c>
      <c r="J94" s="12" t="s">
        <v>1414</v>
      </c>
      <c r="K94" s="12">
        <v>4</v>
      </c>
      <c r="L94" s="30">
        <f t="shared" si="7"/>
        <v>46286</v>
      </c>
      <c r="M94" s="30">
        <f t="shared" si="8"/>
        <v>46292</v>
      </c>
      <c r="N94" s="12" t="s">
        <v>1415</v>
      </c>
      <c r="O94" s="33">
        <f t="shared" si="9"/>
        <v>0</v>
      </c>
      <c r="P94" s="12" t="s">
        <v>1415</v>
      </c>
      <c r="Q94" s="12" t="s">
        <v>1415</v>
      </c>
      <c r="R94" s="12" t="s">
        <v>1415</v>
      </c>
      <c r="S94" s="12" t="s">
        <v>1416</v>
      </c>
      <c r="T94" s="30"/>
      <c r="U94" s="13"/>
    </row>
    <row r="95" spans="1:21" ht="42" customHeight="1">
      <c r="A95" s="11">
        <v>73</v>
      </c>
      <c r="B95" s="12" t="s">
        <v>1426</v>
      </c>
      <c r="C95" s="12">
        <v>9</v>
      </c>
      <c r="D95" s="12" t="s">
        <v>644</v>
      </c>
      <c r="E95" s="12" t="s">
        <v>1216</v>
      </c>
      <c r="F95" s="12" t="s">
        <v>166</v>
      </c>
      <c r="G95" s="12" t="s">
        <v>1201</v>
      </c>
      <c r="H95" s="12" t="s">
        <v>480</v>
      </c>
      <c r="I95" s="12" t="s">
        <v>1209</v>
      </c>
      <c r="J95" s="12" t="s">
        <v>1418</v>
      </c>
      <c r="K95" s="12">
        <v>3</v>
      </c>
      <c r="L95" s="30">
        <f t="shared" si="7"/>
        <v>46286</v>
      </c>
      <c r="M95" s="30">
        <f t="shared" si="8"/>
        <v>46292</v>
      </c>
      <c r="N95" s="12" t="s">
        <v>1415</v>
      </c>
      <c r="O95" s="33">
        <f t="shared" si="9"/>
        <v>0</v>
      </c>
      <c r="P95" s="12" t="s">
        <v>1415</v>
      </c>
      <c r="Q95" s="12" t="s">
        <v>1415</v>
      </c>
      <c r="R95" s="12" t="s">
        <v>1415</v>
      </c>
      <c r="S95" s="12" t="s">
        <v>1416</v>
      </c>
      <c r="T95" s="30"/>
      <c r="U95" s="13"/>
    </row>
    <row r="96" spans="1:21" ht="42" customHeight="1">
      <c r="A96" s="11">
        <v>74</v>
      </c>
      <c r="B96" s="12" t="s">
        <v>1426</v>
      </c>
      <c r="C96" s="12">
        <v>9</v>
      </c>
      <c r="D96" s="12" t="s">
        <v>644</v>
      </c>
      <c r="E96" s="12" t="s">
        <v>1221</v>
      </c>
      <c r="F96" s="12" t="s">
        <v>30</v>
      </c>
      <c r="G96" s="12" t="s">
        <v>1222</v>
      </c>
      <c r="H96" s="12" t="s">
        <v>485</v>
      </c>
      <c r="I96" s="12" t="s">
        <v>1216</v>
      </c>
      <c r="J96" s="12" t="s">
        <v>1414</v>
      </c>
      <c r="K96" s="12">
        <v>3</v>
      </c>
      <c r="L96" s="30">
        <f t="shared" si="7"/>
        <v>46286</v>
      </c>
      <c r="M96" s="30">
        <f t="shared" si="8"/>
        <v>46292</v>
      </c>
      <c r="N96" s="12" t="s">
        <v>1415</v>
      </c>
      <c r="O96" s="33">
        <f t="shared" si="9"/>
        <v>0</v>
      </c>
      <c r="P96" s="12" t="s">
        <v>1415</v>
      </c>
      <c r="Q96" s="12" t="s">
        <v>1415</v>
      </c>
      <c r="R96" s="12" t="s">
        <v>1415</v>
      </c>
      <c r="S96" s="12" t="s">
        <v>1416</v>
      </c>
      <c r="T96" s="30"/>
      <c r="U96" s="13"/>
    </row>
    <row r="97" spans="1:21" ht="42" customHeight="1">
      <c r="A97" s="11">
        <v>75</v>
      </c>
      <c r="B97" s="12" t="s">
        <v>1426</v>
      </c>
      <c r="C97" s="12">
        <v>9</v>
      </c>
      <c r="D97" s="12" t="s">
        <v>644</v>
      </c>
      <c r="E97" s="12" t="s">
        <v>1231</v>
      </c>
      <c r="F97" s="12" t="s">
        <v>64</v>
      </c>
      <c r="G97" s="12" t="s">
        <v>1232</v>
      </c>
      <c r="H97" s="12" t="s">
        <v>492</v>
      </c>
      <c r="I97" s="12" t="s">
        <v>1221</v>
      </c>
      <c r="J97" s="12" t="s">
        <v>1414</v>
      </c>
      <c r="K97" s="12">
        <v>2</v>
      </c>
      <c r="L97" s="30">
        <f t="shared" si="7"/>
        <v>46286</v>
      </c>
      <c r="M97" s="30">
        <f t="shared" si="8"/>
        <v>46292</v>
      </c>
      <c r="N97" s="12" t="s">
        <v>1415</v>
      </c>
      <c r="O97" s="33">
        <f t="shared" si="9"/>
        <v>0</v>
      </c>
      <c r="P97" s="12" t="s">
        <v>1415</v>
      </c>
      <c r="Q97" s="12" t="s">
        <v>1415</v>
      </c>
      <c r="R97" s="12" t="s">
        <v>1415</v>
      </c>
      <c r="S97" s="12" t="s">
        <v>1416</v>
      </c>
      <c r="T97" s="30"/>
      <c r="U97" s="13"/>
    </row>
    <row r="98" spans="1:21" ht="42" customHeight="1">
      <c r="A98" s="11">
        <v>76</v>
      </c>
      <c r="B98" s="12" t="s">
        <v>1426</v>
      </c>
      <c r="C98" s="12">
        <v>9</v>
      </c>
      <c r="D98" s="12" t="s">
        <v>644</v>
      </c>
      <c r="E98" s="12" t="s">
        <v>1240</v>
      </c>
      <c r="F98" s="12" t="s">
        <v>166</v>
      </c>
      <c r="G98" s="12" t="s">
        <v>1232</v>
      </c>
      <c r="H98" s="12" t="s">
        <v>497</v>
      </c>
      <c r="I98" s="12" t="s">
        <v>1231</v>
      </c>
      <c r="J98" s="12" t="s">
        <v>1418</v>
      </c>
      <c r="K98" s="12">
        <v>2</v>
      </c>
      <c r="L98" s="30">
        <f t="shared" si="7"/>
        <v>46286</v>
      </c>
      <c r="M98" s="30">
        <f t="shared" si="8"/>
        <v>46292</v>
      </c>
      <c r="N98" s="12" t="s">
        <v>1415</v>
      </c>
      <c r="O98" s="33">
        <f t="shared" si="9"/>
        <v>0</v>
      </c>
      <c r="P98" s="12" t="s">
        <v>1415</v>
      </c>
      <c r="Q98" s="12" t="s">
        <v>1415</v>
      </c>
      <c r="R98" s="12" t="s">
        <v>1415</v>
      </c>
      <c r="S98" s="12" t="s">
        <v>1416</v>
      </c>
      <c r="T98" s="30"/>
      <c r="U98" s="13"/>
    </row>
    <row r="99" spans="1:21" ht="42" customHeight="1">
      <c r="A99" s="11">
        <v>77</v>
      </c>
      <c r="B99" s="12" t="s">
        <v>1426</v>
      </c>
      <c r="C99" s="12">
        <v>9</v>
      </c>
      <c r="D99" s="12" t="s">
        <v>644</v>
      </c>
      <c r="E99" s="12" t="s">
        <v>1245</v>
      </c>
      <c r="F99" s="12" t="s">
        <v>30</v>
      </c>
      <c r="G99" s="12" t="s">
        <v>1246</v>
      </c>
      <c r="H99" s="12" t="s">
        <v>502</v>
      </c>
      <c r="I99" s="12" t="s">
        <v>1240</v>
      </c>
      <c r="J99" s="12" t="s">
        <v>1414</v>
      </c>
      <c r="K99" s="12">
        <v>5</v>
      </c>
      <c r="L99" s="30">
        <f t="shared" si="7"/>
        <v>46286</v>
      </c>
      <c r="M99" s="30">
        <f t="shared" si="8"/>
        <v>46292</v>
      </c>
      <c r="N99" s="12" t="s">
        <v>1415</v>
      </c>
      <c r="O99" s="33">
        <f t="shared" si="9"/>
        <v>0</v>
      </c>
      <c r="P99" s="12" t="s">
        <v>1415</v>
      </c>
      <c r="Q99" s="12" t="s">
        <v>1415</v>
      </c>
      <c r="R99" s="12" t="s">
        <v>1415</v>
      </c>
      <c r="S99" s="12" t="s">
        <v>1416</v>
      </c>
      <c r="T99" s="30"/>
      <c r="U99" s="13"/>
    </row>
    <row r="100" spans="1:21" ht="42" customHeight="1">
      <c r="A100" s="11">
        <v>78</v>
      </c>
      <c r="B100" s="12" t="s">
        <v>1426</v>
      </c>
      <c r="C100" s="12">
        <v>9</v>
      </c>
      <c r="D100" s="12" t="s">
        <v>644</v>
      </c>
      <c r="E100" s="12" t="s">
        <v>1251</v>
      </c>
      <c r="F100" s="12" t="s">
        <v>30</v>
      </c>
      <c r="G100" s="12" t="s">
        <v>1252</v>
      </c>
      <c r="H100" s="12" t="s">
        <v>507</v>
      </c>
      <c r="I100" s="12" t="s">
        <v>1245</v>
      </c>
      <c r="J100" s="12" t="s">
        <v>1418</v>
      </c>
      <c r="K100" s="12">
        <v>2</v>
      </c>
      <c r="L100" s="30">
        <f t="shared" si="7"/>
        <v>46286</v>
      </c>
      <c r="M100" s="30">
        <f t="shared" si="8"/>
        <v>46292</v>
      </c>
      <c r="N100" s="12" t="s">
        <v>1415</v>
      </c>
      <c r="O100" s="33">
        <f t="shared" si="9"/>
        <v>0</v>
      </c>
      <c r="P100" s="12" t="s">
        <v>1415</v>
      </c>
      <c r="Q100" s="12" t="s">
        <v>1415</v>
      </c>
      <c r="R100" s="12" t="s">
        <v>1415</v>
      </c>
      <c r="S100" s="12" t="s">
        <v>1416</v>
      </c>
      <c r="T100" s="30"/>
      <c r="U100" s="13"/>
    </row>
    <row r="101" spans="1:21" ht="42" customHeight="1">
      <c r="A101" s="11">
        <v>79</v>
      </c>
      <c r="B101" s="12" t="s">
        <v>1426</v>
      </c>
      <c r="C101" s="12">
        <v>9</v>
      </c>
      <c r="D101" s="12" t="s">
        <v>644</v>
      </c>
      <c r="E101" s="12" t="s">
        <v>1256</v>
      </c>
      <c r="F101" s="12" t="s">
        <v>30</v>
      </c>
      <c r="G101" s="12" t="s">
        <v>1257</v>
      </c>
      <c r="H101" s="12" t="s">
        <v>511</v>
      </c>
      <c r="I101" s="12" t="s">
        <v>1251</v>
      </c>
      <c r="J101" s="12" t="s">
        <v>1420</v>
      </c>
      <c r="K101" s="12">
        <v>2</v>
      </c>
      <c r="L101" s="30">
        <f t="shared" si="7"/>
        <v>46286</v>
      </c>
      <c r="M101" s="30">
        <f t="shared" si="8"/>
        <v>46292</v>
      </c>
      <c r="N101" s="12" t="s">
        <v>1415</v>
      </c>
      <c r="O101" s="33">
        <f t="shared" si="9"/>
        <v>0</v>
      </c>
      <c r="P101" s="12" t="s">
        <v>1415</v>
      </c>
      <c r="Q101" s="12" t="s">
        <v>1415</v>
      </c>
      <c r="R101" s="12" t="s">
        <v>1415</v>
      </c>
      <c r="S101" s="12" t="s">
        <v>1416</v>
      </c>
      <c r="T101" s="30"/>
      <c r="U101" s="13"/>
    </row>
    <row r="102" spans="1:21" ht="42" customHeight="1">
      <c r="A102" s="11">
        <v>80</v>
      </c>
      <c r="B102" s="12" t="s">
        <v>1426</v>
      </c>
      <c r="C102" s="12">
        <v>10</v>
      </c>
      <c r="D102" s="12" t="s">
        <v>645</v>
      </c>
      <c r="E102" s="12" t="s">
        <v>1261</v>
      </c>
      <c r="F102" s="12" t="s">
        <v>30</v>
      </c>
      <c r="G102" s="12" t="s">
        <v>1262</v>
      </c>
      <c r="H102" s="12" t="s">
        <v>519</v>
      </c>
      <c r="I102" s="12" t="s">
        <v>1245</v>
      </c>
      <c r="J102" s="12" t="s">
        <v>1414</v>
      </c>
      <c r="K102" s="12">
        <v>5</v>
      </c>
      <c r="L102" s="30">
        <f t="shared" si="7"/>
        <v>46293</v>
      </c>
      <c r="M102" s="30">
        <f t="shared" si="8"/>
        <v>46299</v>
      </c>
      <c r="N102" s="12" t="s">
        <v>1415</v>
      </c>
      <c r="O102" s="33">
        <f t="shared" si="9"/>
        <v>0</v>
      </c>
      <c r="P102" s="12" t="s">
        <v>1415</v>
      </c>
      <c r="Q102" s="12" t="s">
        <v>1415</v>
      </c>
      <c r="R102" s="12" t="s">
        <v>1415</v>
      </c>
      <c r="S102" s="12" t="s">
        <v>1416</v>
      </c>
      <c r="T102" s="30"/>
      <c r="U102" s="13"/>
    </row>
    <row r="103" spans="1:21" ht="42" customHeight="1">
      <c r="A103" s="11">
        <v>81</v>
      </c>
      <c r="B103" s="12" t="s">
        <v>1426</v>
      </c>
      <c r="C103" s="12">
        <v>10</v>
      </c>
      <c r="D103" s="12" t="s">
        <v>645</v>
      </c>
      <c r="E103" s="12" t="s">
        <v>1271</v>
      </c>
      <c r="F103" s="12" t="s">
        <v>17</v>
      </c>
      <c r="G103" s="12" t="s">
        <v>1272</v>
      </c>
      <c r="H103" s="12" t="s">
        <v>526</v>
      </c>
      <c r="I103" s="12" t="s">
        <v>1261</v>
      </c>
      <c r="J103" s="12" t="s">
        <v>1414</v>
      </c>
      <c r="K103" s="12">
        <v>3</v>
      </c>
      <c r="L103" s="30">
        <f t="shared" si="7"/>
        <v>46293</v>
      </c>
      <c r="M103" s="30">
        <f t="shared" si="8"/>
        <v>46299</v>
      </c>
      <c r="N103" s="12" t="s">
        <v>1415</v>
      </c>
      <c r="O103" s="33">
        <f t="shared" si="9"/>
        <v>0</v>
      </c>
      <c r="P103" s="12" t="s">
        <v>1415</v>
      </c>
      <c r="Q103" s="12" t="s">
        <v>1415</v>
      </c>
      <c r="R103" s="12" t="s">
        <v>1415</v>
      </c>
      <c r="S103" s="12" t="s">
        <v>1416</v>
      </c>
      <c r="T103" s="30"/>
      <c r="U103" s="13"/>
    </row>
    <row r="104" spans="1:21" ht="42" customHeight="1">
      <c r="A104" s="11">
        <v>82</v>
      </c>
      <c r="B104" s="12" t="s">
        <v>1426</v>
      </c>
      <c r="C104" s="12">
        <v>10</v>
      </c>
      <c r="D104" s="12" t="s">
        <v>645</v>
      </c>
      <c r="E104" s="12" t="s">
        <v>1279</v>
      </c>
      <c r="F104" s="12" t="s">
        <v>30</v>
      </c>
      <c r="G104" s="12" t="s">
        <v>1280</v>
      </c>
      <c r="H104" s="12" t="s">
        <v>532</v>
      </c>
      <c r="I104" s="12" t="s">
        <v>1271</v>
      </c>
      <c r="J104" s="12" t="s">
        <v>1414</v>
      </c>
      <c r="K104" s="12">
        <v>7</v>
      </c>
      <c r="L104" s="30">
        <f t="shared" si="7"/>
        <v>46293</v>
      </c>
      <c r="M104" s="30">
        <f t="shared" si="8"/>
        <v>46299</v>
      </c>
      <c r="N104" s="12" t="s">
        <v>1415</v>
      </c>
      <c r="O104" s="33">
        <f t="shared" si="9"/>
        <v>0</v>
      </c>
      <c r="P104" s="12" t="s">
        <v>1415</v>
      </c>
      <c r="Q104" s="12" t="s">
        <v>1415</v>
      </c>
      <c r="R104" s="12" t="s">
        <v>1415</v>
      </c>
      <c r="S104" s="12" t="s">
        <v>1416</v>
      </c>
      <c r="T104" s="30"/>
      <c r="U104" s="13"/>
    </row>
    <row r="105" spans="1:21" ht="42" customHeight="1">
      <c r="A105" s="11">
        <v>83</v>
      </c>
      <c r="B105" s="12" t="s">
        <v>1426</v>
      </c>
      <c r="C105" s="12">
        <v>10</v>
      </c>
      <c r="D105" s="12" t="s">
        <v>645</v>
      </c>
      <c r="E105" s="12" t="s">
        <v>1289</v>
      </c>
      <c r="F105" s="12" t="s">
        <v>30</v>
      </c>
      <c r="G105" s="12" t="s">
        <v>1290</v>
      </c>
      <c r="H105" s="12" t="s">
        <v>539</v>
      </c>
      <c r="I105" s="12" t="s">
        <v>1279</v>
      </c>
      <c r="J105" s="12" t="s">
        <v>1414</v>
      </c>
      <c r="K105" s="12">
        <v>4</v>
      </c>
      <c r="L105" s="30">
        <f t="shared" si="7"/>
        <v>46293</v>
      </c>
      <c r="M105" s="30">
        <f t="shared" si="8"/>
        <v>46299</v>
      </c>
      <c r="N105" s="12" t="s">
        <v>1415</v>
      </c>
      <c r="O105" s="33">
        <f t="shared" si="9"/>
        <v>0</v>
      </c>
      <c r="P105" s="12" t="s">
        <v>1415</v>
      </c>
      <c r="Q105" s="12" t="s">
        <v>1415</v>
      </c>
      <c r="R105" s="12" t="s">
        <v>1415</v>
      </c>
      <c r="S105" s="12" t="s">
        <v>1416</v>
      </c>
      <c r="T105" s="30"/>
      <c r="U105" s="13"/>
    </row>
    <row r="106" spans="1:21" ht="42" customHeight="1">
      <c r="A106" s="11">
        <v>84</v>
      </c>
      <c r="B106" s="12" t="s">
        <v>1426</v>
      </c>
      <c r="C106" s="12">
        <v>10</v>
      </c>
      <c r="D106" s="12" t="s">
        <v>645</v>
      </c>
      <c r="E106" s="12" t="s">
        <v>1297</v>
      </c>
      <c r="F106" s="12" t="s">
        <v>30</v>
      </c>
      <c r="G106" s="12" t="s">
        <v>1298</v>
      </c>
      <c r="H106" s="12" t="s">
        <v>545</v>
      </c>
      <c r="I106" s="12" t="s">
        <v>1289</v>
      </c>
      <c r="J106" s="12" t="s">
        <v>1418</v>
      </c>
      <c r="K106" s="12">
        <v>2</v>
      </c>
      <c r="L106" s="30">
        <f t="shared" si="7"/>
        <v>46293</v>
      </c>
      <c r="M106" s="30">
        <f t="shared" si="8"/>
        <v>46299</v>
      </c>
      <c r="N106" s="12" t="s">
        <v>1415</v>
      </c>
      <c r="O106" s="33">
        <f t="shared" si="9"/>
        <v>0</v>
      </c>
      <c r="P106" s="12" t="s">
        <v>1415</v>
      </c>
      <c r="Q106" s="12" t="s">
        <v>1415</v>
      </c>
      <c r="R106" s="12" t="s">
        <v>1415</v>
      </c>
      <c r="S106" s="12" t="s">
        <v>1416</v>
      </c>
      <c r="T106" s="30"/>
      <c r="U106" s="13"/>
    </row>
    <row r="107" spans="1:21" ht="42" customHeight="1">
      <c r="A107" s="11">
        <v>85</v>
      </c>
      <c r="B107" s="12" t="s">
        <v>1426</v>
      </c>
      <c r="C107" s="12">
        <v>10</v>
      </c>
      <c r="D107" s="12" t="s">
        <v>645</v>
      </c>
      <c r="E107" s="12" t="s">
        <v>1303</v>
      </c>
      <c r="F107" s="12" t="s">
        <v>17</v>
      </c>
      <c r="G107" s="12" t="s">
        <v>1304</v>
      </c>
      <c r="H107" s="12" t="s">
        <v>550</v>
      </c>
      <c r="I107" s="12" t="s">
        <v>1297</v>
      </c>
      <c r="J107" s="12" t="s">
        <v>1418</v>
      </c>
      <c r="K107" s="12">
        <v>4</v>
      </c>
      <c r="L107" s="30">
        <f t="shared" si="7"/>
        <v>46293</v>
      </c>
      <c r="M107" s="30">
        <f t="shared" si="8"/>
        <v>46299</v>
      </c>
      <c r="N107" s="12" t="s">
        <v>1415</v>
      </c>
      <c r="O107" s="33">
        <f t="shared" si="9"/>
        <v>0</v>
      </c>
      <c r="P107" s="12" t="s">
        <v>1415</v>
      </c>
      <c r="Q107" s="12" t="s">
        <v>1415</v>
      </c>
      <c r="R107" s="12" t="s">
        <v>1415</v>
      </c>
      <c r="S107" s="12" t="s">
        <v>1416</v>
      </c>
      <c r="T107" s="30"/>
      <c r="U107" s="13"/>
    </row>
    <row r="108" spans="1:21" ht="42" customHeight="1">
      <c r="A108" s="11">
        <v>86</v>
      </c>
      <c r="B108" s="12" t="s">
        <v>1426</v>
      </c>
      <c r="C108" s="12">
        <v>10</v>
      </c>
      <c r="D108" s="12" t="s">
        <v>645</v>
      </c>
      <c r="E108" s="12" t="s">
        <v>1310</v>
      </c>
      <c r="F108" s="12" t="s">
        <v>17</v>
      </c>
      <c r="G108" s="12" t="s">
        <v>1311</v>
      </c>
      <c r="H108" s="12" t="s">
        <v>556</v>
      </c>
      <c r="I108" s="12" t="s">
        <v>1303</v>
      </c>
      <c r="J108" s="12" t="s">
        <v>1414</v>
      </c>
      <c r="K108" s="12">
        <v>4</v>
      </c>
      <c r="L108" s="30">
        <f t="shared" si="7"/>
        <v>46293</v>
      </c>
      <c r="M108" s="30">
        <f t="shared" si="8"/>
        <v>46299</v>
      </c>
      <c r="N108" s="12" t="s">
        <v>1415</v>
      </c>
      <c r="O108" s="33">
        <f t="shared" si="9"/>
        <v>0</v>
      </c>
      <c r="P108" s="12" t="s">
        <v>1415</v>
      </c>
      <c r="Q108" s="12" t="s">
        <v>1415</v>
      </c>
      <c r="R108" s="12" t="s">
        <v>1415</v>
      </c>
      <c r="S108" s="12" t="s">
        <v>1416</v>
      </c>
      <c r="T108" s="30"/>
      <c r="U108" s="13"/>
    </row>
    <row r="109" spans="1:21" ht="42" customHeight="1">
      <c r="A109" s="11">
        <v>87</v>
      </c>
      <c r="B109" s="12" t="s">
        <v>1426</v>
      </c>
      <c r="C109" s="12">
        <v>10</v>
      </c>
      <c r="D109" s="12" t="s">
        <v>645</v>
      </c>
      <c r="E109" s="12" t="s">
        <v>1316</v>
      </c>
      <c r="F109" s="12" t="s">
        <v>17</v>
      </c>
      <c r="G109" s="12" t="s">
        <v>1317</v>
      </c>
      <c r="H109" s="12" t="s">
        <v>562</v>
      </c>
      <c r="I109" s="12" t="s">
        <v>1310</v>
      </c>
      <c r="J109" s="12" t="s">
        <v>1418</v>
      </c>
      <c r="K109" s="12">
        <v>4</v>
      </c>
      <c r="L109" s="30">
        <f t="shared" si="7"/>
        <v>46293</v>
      </c>
      <c r="M109" s="30">
        <f t="shared" si="8"/>
        <v>46299</v>
      </c>
      <c r="N109" s="12" t="s">
        <v>1415</v>
      </c>
      <c r="O109" s="33">
        <f t="shared" si="9"/>
        <v>0</v>
      </c>
      <c r="P109" s="12" t="s">
        <v>1415</v>
      </c>
      <c r="Q109" s="12" t="s">
        <v>1415</v>
      </c>
      <c r="R109" s="12" t="s">
        <v>1415</v>
      </c>
      <c r="S109" s="12" t="s">
        <v>1416</v>
      </c>
      <c r="T109" s="30"/>
      <c r="U109" s="13"/>
    </row>
    <row r="110" spans="1:21" ht="42" customHeight="1">
      <c r="A110" s="11">
        <v>88</v>
      </c>
      <c r="B110" s="12" t="s">
        <v>1428</v>
      </c>
      <c r="C110" s="12">
        <v>11</v>
      </c>
      <c r="D110" s="12" t="s">
        <v>646</v>
      </c>
      <c r="E110" s="12" t="s">
        <v>1324</v>
      </c>
      <c r="F110" s="12" t="s">
        <v>17</v>
      </c>
      <c r="G110" s="12" t="s">
        <v>1325</v>
      </c>
      <c r="H110" s="12" t="s">
        <v>571</v>
      </c>
      <c r="I110" s="12" t="s">
        <v>1429</v>
      </c>
      <c r="J110" s="12" t="s">
        <v>1414</v>
      </c>
      <c r="K110" s="12">
        <v>5</v>
      </c>
      <c r="L110" s="30">
        <f t="shared" si="7"/>
        <v>46300</v>
      </c>
      <c r="M110" s="30">
        <f t="shared" si="8"/>
        <v>46306</v>
      </c>
      <c r="N110" s="12" t="s">
        <v>1415</v>
      </c>
      <c r="O110" s="33">
        <f t="shared" si="9"/>
        <v>0</v>
      </c>
      <c r="P110" s="12" t="s">
        <v>1415</v>
      </c>
      <c r="Q110" s="12" t="s">
        <v>1415</v>
      </c>
      <c r="R110" s="12" t="s">
        <v>1415</v>
      </c>
      <c r="S110" s="12" t="s">
        <v>1416</v>
      </c>
      <c r="T110" s="30"/>
      <c r="U110" s="13"/>
    </row>
    <row r="111" spans="1:21" ht="42" customHeight="1">
      <c r="A111" s="11">
        <v>89</v>
      </c>
      <c r="B111" s="12" t="s">
        <v>1428</v>
      </c>
      <c r="C111" s="12">
        <v>11</v>
      </c>
      <c r="D111" s="12" t="s">
        <v>646</v>
      </c>
      <c r="E111" s="12" t="s">
        <v>1333</v>
      </c>
      <c r="F111" s="12" t="s">
        <v>17</v>
      </c>
      <c r="G111" s="12" t="s">
        <v>1334</v>
      </c>
      <c r="H111" s="12" t="s">
        <v>578</v>
      </c>
      <c r="I111" s="12" t="s">
        <v>1324</v>
      </c>
      <c r="J111" s="12" t="s">
        <v>1418</v>
      </c>
      <c r="K111" s="12">
        <v>4</v>
      </c>
      <c r="L111" s="30">
        <f t="shared" si="7"/>
        <v>46300</v>
      </c>
      <c r="M111" s="30">
        <f t="shared" si="8"/>
        <v>46306</v>
      </c>
      <c r="N111" s="12" t="s">
        <v>1415</v>
      </c>
      <c r="O111" s="33">
        <f t="shared" si="9"/>
        <v>0</v>
      </c>
      <c r="P111" s="12" t="s">
        <v>1415</v>
      </c>
      <c r="Q111" s="12" t="s">
        <v>1415</v>
      </c>
      <c r="R111" s="12" t="s">
        <v>1415</v>
      </c>
      <c r="S111" s="12" t="s">
        <v>1416</v>
      </c>
      <c r="T111" s="30"/>
      <c r="U111" s="13"/>
    </row>
    <row r="112" spans="1:21" ht="42" customHeight="1">
      <c r="A112" s="11">
        <v>90</v>
      </c>
      <c r="B112" s="12" t="s">
        <v>1428</v>
      </c>
      <c r="C112" s="12">
        <v>11</v>
      </c>
      <c r="D112" s="12" t="s">
        <v>646</v>
      </c>
      <c r="E112" s="12" t="s">
        <v>1342</v>
      </c>
      <c r="F112" s="12" t="s">
        <v>17</v>
      </c>
      <c r="G112" s="12" t="s">
        <v>1343</v>
      </c>
      <c r="H112" s="12" t="s">
        <v>585</v>
      </c>
      <c r="I112" s="12" t="s">
        <v>1333</v>
      </c>
      <c r="J112" s="12" t="s">
        <v>1418</v>
      </c>
      <c r="K112" s="12">
        <v>4</v>
      </c>
      <c r="L112" s="30">
        <f t="shared" si="7"/>
        <v>46300</v>
      </c>
      <c r="M112" s="30">
        <f t="shared" si="8"/>
        <v>46306</v>
      </c>
      <c r="N112" s="12" t="s">
        <v>1415</v>
      </c>
      <c r="O112" s="33">
        <f t="shared" si="9"/>
        <v>0</v>
      </c>
      <c r="P112" s="12" t="s">
        <v>1415</v>
      </c>
      <c r="Q112" s="12" t="s">
        <v>1415</v>
      </c>
      <c r="R112" s="12" t="s">
        <v>1415</v>
      </c>
      <c r="S112" s="12" t="s">
        <v>1416</v>
      </c>
      <c r="T112" s="30"/>
      <c r="U112" s="13"/>
    </row>
    <row r="113" spans="1:21" ht="42" customHeight="1">
      <c r="A113" s="11">
        <v>91</v>
      </c>
      <c r="B113" s="12" t="s">
        <v>1428</v>
      </c>
      <c r="C113" s="12">
        <v>11</v>
      </c>
      <c r="D113" s="12" t="s">
        <v>646</v>
      </c>
      <c r="E113" s="12" t="s">
        <v>1349</v>
      </c>
      <c r="F113" s="12" t="s">
        <v>17</v>
      </c>
      <c r="G113" s="12" t="s">
        <v>1350</v>
      </c>
      <c r="H113" s="12" t="s">
        <v>590</v>
      </c>
      <c r="I113" s="12" t="s">
        <v>1342</v>
      </c>
      <c r="J113" s="12" t="s">
        <v>1418</v>
      </c>
      <c r="K113" s="12">
        <v>4</v>
      </c>
      <c r="L113" s="30">
        <f t="shared" si="7"/>
        <v>46300</v>
      </c>
      <c r="M113" s="30">
        <f t="shared" si="8"/>
        <v>46306</v>
      </c>
      <c r="N113" s="12" t="s">
        <v>1415</v>
      </c>
      <c r="O113" s="33">
        <f t="shared" si="9"/>
        <v>0</v>
      </c>
      <c r="P113" s="12" t="s">
        <v>1415</v>
      </c>
      <c r="Q113" s="12" t="s">
        <v>1415</v>
      </c>
      <c r="R113" s="12" t="s">
        <v>1415</v>
      </c>
      <c r="S113" s="12" t="s">
        <v>1416</v>
      </c>
      <c r="T113" s="30"/>
      <c r="U113" s="13"/>
    </row>
    <row r="114" spans="1:21" ht="42" customHeight="1">
      <c r="A114" s="11">
        <v>92</v>
      </c>
      <c r="B114" s="12" t="s">
        <v>1428</v>
      </c>
      <c r="C114" s="12">
        <v>11</v>
      </c>
      <c r="D114" s="12" t="s">
        <v>646</v>
      </c>
      <c r="E114" s="12" t="s">
        <v>1357</v>
      </c>
      <c r="F114" s="12" t="s">
        <v>17</v>
      </c>
      <c r="G114" s="12" t="s">
        <v>1358</v>
      </c>
      <c r="H114" s="12" t="s">
        <v>596</v>
      </c>
      <c r="I114" s="12" t="s">
        <v>1349</v>
      </c>
      <c r="J114" s="12" t="s">
        <v>1418</v>
      </c>
      <c r="K114" s="12">
        <v>5</v>
      </c>
      <c r="L114" s="30">
        <f t="shared" si="7"/>
        <v>46300</v>
      </c>
      <c r="M114" s="30">
        <f t="shared" si="8"/>
        <v>46306</v>
      </c>
      <c r="N114" s="12" t="s">
        <v>1415</v>
      </c>
      <c r="O114" s="33">
        <f t="shared" si="9"/>
        <v>0</v>
      </c>
      <c r="P114" s="12" t="s">
        <v>1415</v>
      </c>
      <c r="Q114" s="12" t="s">
        <v>1415</v>
      </c>
      <c r="R114" s="12" t="s">
        <v>1415</v>
      </c>
      <c r="S114" s="12" t="s">
        <v>1416</v>
      </c>
      <c r="T114" s="30"/>
      <c r="U114" s="13"/>
    </row>
    <row r="115" spans="1:21" ht="42" customHeight="1">
      <c r="A115" s="11">
        <v>93</v>
      </c>
      <c r="B115" s="12" t="s">
        <v>1428</v>
      </c>
      <c r="C115" s="12">
        <v>11</v>
      </c>
      <c r="D115" s="12" t="s">
        <v>646</v>
      </c>
      <c r="E115" s="12" t="s">
        <v>1365</v>
      </c>
      <c r="F115" s="12" t="s">
        <v>17</v>
      </c>
      <c r="G115" s="12" t="s">
        <v>1366</v>
      </c>
      <c r="H115" s="12" t="s">
        <v>602</v>
      </c>
      <c r="I115" s="12" t="s">
        <v>1357</v>
      </c>
      <c r="J115" s="12" t="s">
        <v>1420</v>
      </c>
      <c r="K115" s="12">
        <v>6</v>
      </c>
      <c r="L115" s="30">
        <f t="shared" si="7"/>
        <v>46300</v>
      </c>
      <c r="M115" s="30">
        <f t="shared" si="8"/>
        <v>46306</v>
      </c>
      <c r="N115" s="12" t="s">
        <v>1415</v>
      </c>
      <c r="O115" s="33">
        <f t="shared" si="9"/>
        <v>0</v>
      </c>
      <c r="P115" s="12" t="s">
        <v>1415</v>
      </c>
      <c r="Q115" s="12" t="s">
        <v>1415</v>
      </c>
      <c r="R115" s="12" t="s">
        <v>1415</v>
      </c>
      <c r="S115" s="12" t="s">
        <v>1416</v>
      </c>
      <c r="T115" s="30"/>
      <c r="U115" s="13"/>
    </row>
    <row r="116" spans="1:21" ht="42" customHeight="1">
      <c r="A116" s="14">
        <v>94</v>
      </c>
      <c r="B116" s="15" t="s">
        <v>1428</v>
      </c>
      <c r="C116" s="15">
        <v>11</v>
      </c>
      <c r="D116" s="15" t="s">
        <v>646</v>
      </c>
      <c r="E116" s="15" t="s">
        <v>1372</v>
      </c>
      <c r="F116" s="15" t="s">
        <v>17</v>
      </c>
      <c r="G116" s="15" t="s">
        <v>1373</v>
      </c>
      <c r="H116" s="15" t="s">
        <v>608</v>
      </c>
      <c r="I116" s="15" t="s">
        <v>1365</v>
      </c>
      <c r="J116" s="15" t="s">
        <v>1420</v>
      </c>
      <c r="K116" s="15">
        <v>6</v>
      </c>
      <c r="L116" s="31">
        <f t="shared" si="7"/>
        <v>46300</v>
      </c>
      <c r="M116" s="31">
        <f t="shared" si="8"/>
        <v>46306</v>
      </c>
      <c r="N116" s="15" t="s">
        <v>1415</v>
      </c>
      <c r="O116" s="34">
        <f t="shared" si="9"/>
        <v>0</v>
      </c>
      <c r="P116" s="15" t="s">
        <v>1415</v>
      </c>
      <c r="Q116" s="15" t="s">
        <v>1415</v>
      </c>
      <c r="R116" s="15" t="s">
        <v>1415</v>
      </c>
      <c r="S116" s="15" t="s">
        <v>1416</v>
      </c>
      <c r="T116" s="31"/>
      <c r="U116" s="16"/>
    </row>
  </sheetData>
  <mergeCells count="2">
    <mergeCell ref="A1:U1"/>
    <mergeCell ref="P3:U5"/>
  </mergeCells>
  <conditionalFormatting sqref="D9:D19">
    <cfRule type="dataBar" priority="18">
      <dataBar>
        <cfvo type="min"/>
        <cfvo type="max"/>
        <color rgb="FF70AD47"/>
      </dataBar>
    </cfRule>
    <cfRule type="dataBar" priority="2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{E14E5DCD-EC1E-B0ED-83A8-5CB47EF7B2FD}</x14:id>
        </ext>
      </extLst>
    </cfRule>
  </conditionalFormatting>
  <conditionalFormatting sqref="F23:F116">
    <cfRule type="expression" dxfId="15" priority="13">
      <formula>F23="GET"</formula>
    </cfRule>
    <cfRule type="expression" dxfId="14" priority="14">
      <formula>F23="POST"</formula>
    </cfRule>
    <cfRule type="expression" dxfId="13" priority="15">
      <formula>F23="PATCH"</formula>
    </cfRule>
    <cfRule type="expression" dxfId="12" priority="16">
      <formula>F23="PUT"</formula>
    </cfRule>
    <cfRule type="expression" dxfId="11" priority="17">
      <formula>F23="DELETE"</formula>
    </cfRule>
  </conditionalFormatting>
  <conditionalFormatting sqref="J23:J116">
    <cfRule type="expression" dxfId="10" priority="10">
      <formula>J23="P0"</formula>
    </cfRule>
    <cfRule type="expression" dxfId="9" priority="11">
      <formula>J23="P1"</formula>
    </cfRule>
    <cfRule type="expression" dxfId="8" priority="12">
      <formula>J23="P2"</formula>
    </cfRule>
  </conditionalFormatting>
  <conditionalFormatting sqref="N23:N116">
    <cfRule type="expression" dxfId="7" priority="1">
      <formula>N23="Done"</formula>
    </cfRule>
    <cfRule type="expression" dxfId="6" priority="2">
      <formula>N23="In Progress"</formula>
    </cfRule>
    <cfRule type="expression" dxfId="5" priority="3">
      <formula>N23="Review"</formula>
    </cfRule>
    <cfRule type="expression" dxfId="4" priority="4">
      <formula>N23="Blocked"</formula>
    </cfRule>
  </conditionalFormatting>
  <conditionalFormatting sqref="O23:O116">
    <cfRule type="dataBar" priority="5">
      <dataBar>
        <cfvo type="min"/>
        <cfvo type="max"/>
        <color rgb="FF5B9BD5"/>
      </dataBar>
    </cfRule>
    <cfRule type="dataBar" priority="1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{9AEE7B5D-5820-5A2F-BA01-37F38A5FA8C6}</x14:id>
        </ext>
      </extLst>
    </cfRule>
  </conditionalFormatting>
  <conditionalFormatting sqref="P23:P116">
    <cfRule type="expression" dxfId="3" priority="6">
      <formula>P23="Passed"</formula>
    </cfRule>
    <cfRule type="expression" dxfId="2" priority="7">
      <formula>P23="Failed"</formula>
    </cfRule>
  </conditionalFormatting>
  <conditionalFormatting sqref="Q23:Q116">
    <cfRule type="expression" dxfId="1" priority="8">
      <formula>Q23="Passed"</formula>
    </cfRule>
    <cfRule type="expression" dxfId="0" priority="9">
      <formula>Q23="Failed"</formula>
    </cfRule>
  </conditionalFormatting>
  <dataValidations count="4">
    <dataValidation type="list" sqref="J23:J116" xr:uid="{00000000-0002-0000-0200-000000000000}">
      <formula1>"P0,P1,P2"</formula1>
    </dataValidation>
    <dataValidation type="list" sqref="N23:N116" xr:uid="{00000000-0002-0000-0200-000001000000}">
      <formula1>"Not Started,In Progress,Review,Blocked,Done"</formula1>
    </dataValidation>
    <dataValidation type="list" sqref="P23:Q116" xr:uid="{00000000-0002-0000-0200-000002000000}">
      <formula1>"Not Started,In Progress,Passed,Failed,N/A"</formula1>
    </dataValidation>
    <dataValidation type="list" sqref="R23:R116" xr:uid="{00000000-0002-0000-0200-000003000000}">
      <formula1>"Not Started,Draft,Review,Done"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E5DCD-EC1E-B0ED-83A8-5CB47EF7B2FD}">
            <x14:dataBar>
              <x14:cfvo type="min"/>
              <x14:cfvo type="max"/>
              <x14:negativeFillColor auto="1"/>
              <x14:axisColor auto="1"/>
            </x14:dataBar>
          </x14:cfRule>
          <xm:sqref>D9:D19</xm:sqref>
        </x14:conditionalFormatting>
        <x14:conditionalFormatting xmlns:xm="http://schemas.microsoft.com/office/excel/2006/main">
          <x14:cfRule type="dataBar" id="{9AEE7B5D-5820-5A2F-BA01-37F38A5FA8C6}">
            <x14:dataBar>
              <x14:cfvo type="min"/>
              <x14:cfvo type="max"/>
              <x14:negativeFillColor auto="1"/>
              <x14:axisColor auto="1"/>
            </x14:dataBar>
          </x14:cfRule>
          <xm:sqref>O23:O116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Design</vt:lpstr>
      <vt:lpstr>API Doc</vt:lpstr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Pham</cp:lastModifiedBy>
  <dcterms:modified xsi:type="dcterms:W3CDTF">2026-07-22T10:27:36Z</dcterms:modified>
</cp:coreProperties>
</file>